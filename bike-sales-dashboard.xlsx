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min\Desktop\Alex the Analyst\Excel Tutorials for Beginners\"/>
    </mc:Choice>
  </mc:AlternateContent>
  <xr:revisionPtr revIDLastSave="0" documentId="13_ncr:1_{EF0301EE-155A-41B5-B995-7D649143CCA7}" xr6:coauthVersionLast="47" xr6:coauthVersionMax="47" xr10:uidLastSave="{00000000-0000-0000-0000-000000000000}"/>
  <bookViews>
    <workbookView xWindow="-120" yWindow="-120" windowWidth="20730" windowHeight="11160" activeTab="3" xr2:uid="{00000000-000D-0000-FFFF-FFFF00000000}"/>
  </bookViews>
  <sheets>
    <sheet name="meta data - Riding Bike" sheetId="1" r:id="rId1"/>
    <sheet name="Working Sheet" sheetId="2" r:id="rId2"/>
    <sheet name="Pivot Table" sheetId="4" r:id="rId3"/>
    <sheet name="Dashboard" sheetId="3" r:id="rId4"/>
  </sheets>
  <definedNames>
    <definedName name="_xlnm._FilterDatabase" localSheetId="0" hidden="1">'meta data - Riding Bike'!$A$1:$M$1001</definedName>
    <definedName name="_xlnm._FilterDatabase" localSheetId="1" hidden="1">'Working Sheet'!$A$2:$O$1001</definedName>
    <definedName name="_xlchart.v5.0" hidden="1">'Pivot Table'!$D$69</definedName>
    <definedName name="_xlchart.v5.1" hidden="1">'Pivot Table'!$D$70:$D$72</definedName>
    <definedName name="_xlchart.v5.10" hidden="1">'Pivot Table'!$D$70:$D$72</definedName>
    <definedName name="_xlchart.v5.11" hidden="1">'Pivot Table'!$E$69</definedName>
    <definedName name="_xlchart.v5.12" hidden="1">'Pivot Table'!$E$70:$E$72</definedName>
    <definedName name="_xlchart.v5.2" hidden="1">'Pivot Table'!$E$68</definedName>
    <definedName name="_xlchart.v5.3" hidden="1">'Pivot Table'!$E$69</definedName>
    <definedName name="_xlchart.v5.4" hidden="1">'Pivot Table'!$E$70:$E$72</definedName>
    <definedName name="_xlchart.v5.5" hidden="1">'Pivot Table'!$D$69</definedName>
    <definedName name="_xlchart.v5.6" hidden="1">'Pivot Table'!$D$70:$D$72</definedName>
    <definedName name="_xlchart.v5.7" hidden="1">'Pivot Table'!$E$69</definedName>
    <definedName name="_xlchart.v5.8" hidden="1">'Pivot Table'!$E$70:$E$72</definedName>
    <definedName name="_xlchart.v5.9" hidden="1">'Pivot Table'!$D$69</definedName>
    <definedName name="Slicer_Cars">#N/A</definedName>
    <definedName name="Slicer_Children">#N/A</definedName>
    <definedName name="Slicer_Home_Owner">#N/A</definedName>
    <definedName name="Slicer_Marital_Status">#N/A</definedName>
    <definedName name="Slicer_Region">#N/A</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0" i="4" l="1"/>
  <c r="E72" i="4"/>
  <c r="E71" i="4"/>
  <c r="C60" i="4"/>
  <c r="C56" i="4"/>
  <c r="C63" i="4" l="1"/>
</calcChain>
</file>

<file path=xl/sharedStrings.xml><?xml version="1.0" encoding="utf-8"?>
<sst xmlns="http://schemas.openxmlformats.org/spreadsheetml/2006/main" count="18296" uniqueCount="65">
  <si>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</si>
  <si>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</si>
  <si>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</si>
  <si>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</si>
  <si>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</si>
  <si>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</si>
  <si>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</si>
  <si>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</si>
  <si>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</si>
  <si>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</si>
  <si>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</si>
  <si>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</si>
  <si>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</si>
  <si>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</si>
  <si>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</si>
  <si>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</si>
  <si>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</si>
  <si>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</si>
  <si>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</si>
  <si>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</si>
  <si>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</si>
  <si>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</si>
  <si>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</si>
  <si>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</si>
  <si>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</si>
  <si>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</si>
  <si>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</si>
  <si>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</si>
  <si>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</si>
  <si>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</si>
  <si>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</si>
  <si>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</si>
  <si>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</si>
  <si>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</si>
  <si>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</si>
  <si>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</si>
  <si>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</si>
  <si>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</si>
  <si>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</si>
  <si>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</si>
  <si>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</si>
  <si>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</si>
  <si>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</si>
  <si>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</si>
  <si>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</si>
  <si>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</si>
  <si>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t>
  </si>
  <si>
    <t>Late Middle Age</t>
  </si>
  <si>
    <t>Middle Age</t>
  </si>
  <si>
    <t>Millennials</t>
  </si>
  <si>
    <t>Old</t>
  </si>
  <si>
    <t>31-44</t>
  </si>
  <si>
    <t>45-54</t>
  </si>
  <si>
    <t>30 or less</t>
  </si>
  <si>
    <t>55 or More</t>
  </si>
  <si>
    <t>Age Classification</t>
  </si>
  <si>
    <t>Bike Sales DASHBOARD</t>
  </si>
  <si>
    <t>Count of ID</t>
  </si>
  <si>
    <t>Total Customer</t>
  </si>
  <si>
    <t>Conversion Rate</t>
  </si>
  <si>
    <t>Column1</t>
  </si>
  <si>
    <t>Column2</t>
  </si>
  <si>
    <t>USA</t>
  </si>
  <si>
    <t>Canada</t>
  </si>
  <si>
    <t>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</si>
</sst>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8"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u/>
      <sz val="36"/>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64" fontId="0" fillId="0" borderId="0" xfId="0" applyNumberFormat="1"/>
    <xf numFmtId="0" fontId="18" fillId="0" borderId="0" xfId="0" applyFont="1"/>
    <xf numFmtId="0" fontId="0" fillId="0" borderId="0" xfId="0" applyAlignment="1">
      <alignment horizontal="center" vertical="center"/>
    </xf>
    <xf numFmtId="168" fontId="0" fillId="0" borderId="0" xfId="42" applyNumberFormat="1" applyFont="1" applyAlignment="1">
      <alignment horizontal="center" vertical="center"/>
    </xf>
    <xf numFmtId="0" fontId="18" fillId="0" borderId="0" xfId="0" applyFont="1" applyAlignment="1">
      <alignment horizontal="center" vertical="center"/>
    </xf>
    <xf numFmtId="49" fontId="0" fillId="0" borderId="0" xfId="0" applyNumberFormat="1" applyAlignment="1">
      <alignment horizontal="center" vertical="center"/>
    </xf>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19" fillId="33" borderId="0" xfId="0" applyFont="1" applyFill="1" applyAlignment="1">
      <alignment horizontal="center" vertical="center"/>
    </xf>
    <xf numFmtId="9" fontId="0" fillId="0" borderId="0" xfId="43" applyFont="1"/>
    <xf numFmtId="0" fontId="0" fillId="0" borderId="0" xfId="0" applyFont="1"/>
    <xf numFmtId="0" fontId="16" fillId="0" borderId="0" xfId="0" applyFont="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CBB9-4076-A2D4-E177B0B61AA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BB9-4076-A2D4-E177B0B61AAD}"/>
            </c:ext>
          </c:extLst>
        </c:ser>
        <c:dLbls>
          <c:showLegendKey val="0"/>
          <c:showVal val="0"/>
          <c:showCatName val="0"/>
          <c:showSerName val="0"/>
          <c:showPercent val="0"/>
          <c:showBubbleSize val="0"/>
        </c:dLbls>
        <c:gapWidth val="219"/>
        <c:overlap val="-27"/>
        <c:axId val="283315872"/>
        <c:axId val="283335552"/>
      </c:barChart>
      <c:catAx>
        <c:axId val="2833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35552"/>
        <c:crosses val="autoZero"/>
        <c:auto val="1"/>
        <c:lblAlgn val="ctr"/>
        <c:lblOffset val="100"/>
        <c:noMultiLvlLbl val="0"/>
      </c:catAx>
      <c:valAx>
        <c:axId val="2833355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1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/Purchase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2EC-4077-86B5-A11D0A42B407}"/>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2EC-4077-86B5-A11D0A42B407}"/>
            </c:ext>
          </c:extLst>
        </c:ser>
        <c:dLbls>
          <c:dLblPos val="t"/>
          <c:showLegendKey val="0"/>
          <c:showVal val="0"/>
          <c:showCatName val="0"/>
          <c:showSerName val="0"/>
          <c:showPercent val="0"/>
          <c:showBubbleSize val="0"/>
        </c:dLbls>
        <c:smooth val="0"/>
        <c:axId val="379401216"/>
        <c:axId val="379402656"/>
      </c:lineChart>
      <c:catAx>
        <c:axId val="37940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02656"/>
        <c:crosses val="autoZero"/>
        <c:auto val="1"/>
        <c:lblAlgn val="ctr"/>
        <c:lblOffset val="100"/>
        <c:noMultiLvlLbl val="0"/>
      </c:catAx>
      <c:valAx>
        <c:axId val="37940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0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Age/Purchase</a:t>
            </a:r>
            <a:r>
              <a:rPr lang="en-US" baseline="0"/>
              <a:t> Pattern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Table'!$A$38:$A$42</c:f>
              <c:strCache>
                <c:ptCount val="4"/>
                <c:pt idx="0">
                  <c:v>30 or less</c:v>
                </c:pt>
                <c:pt idx="1">
                  <c:v>31-44</c:v>
                </c:pt>
                <c:pt idx="2">
                  <c:v>45-54</c:v>
                </c:pt>
                <c:pt idx="3">
                  <c:v>55 or More</c:v>
                </c:pt>
              </c:strCache>
            </c:strRef>
          </c:cat>
          <c:val>
            <c:numRef>
              <c:f>'Pivot Table'!$B$38:$B$42</c:f>
              <c:numCache>
                <c:formatCode>General</c:formatCode>
                <c:ptCount val="4"/>
                <c:pt idx="0">
                  <c:v>261</c:v>
                </c:pt>
                <c:pt idx="1">
                  <c:v>128</c:v>
                </c:pt>
                <c:pt idx="2">
                  <c:v>13</c:v>
                </c:pt>
                <c:pt idx="3">
                  <c:v>117</c:v>
                </c:pt>
              </c:numCache>
            </c:numRef>
          </c:val>
          <c:smooth val="0"/>
          <c:extLst>
            <c:ext xmlns:c16="http://schemas.microsoft.com/office/drawing/2014/chart" uri="{C3380CC4-5D6E-409C-BE32-E72D297353CC}">
              <c16:uniqueId val="{00000000-8285-497F-AADB-CA41FF3CD326}"/>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Table'!$A$38:$A$42</c:f>
              <c:strCache>
                <c:ptCount val="4"/>
                <c:pt idx="0">
                  <c:v>30 or less</c:v>
                </c:pt>
                <c:pt idx="1">
                  <c:v>31-44</c:v>
                </c:pt>
                <c:pt idx="2">
                  <c:v>45-54</c:v>
                </c:pt>
                <c:pt idx="3">
                  <c:v>55 or More</c:v>
                </c:pt>
              </c:strCache>
            </c:strRef>
          </c:cat>
          <c:val>
            <c:numRef>
              <c:f>'Pivot Table'!$C$38:$C$42</c:f>
              <c:numCache>
                <c:formatCode>General</c:formatCode>
                <c:ptCount val="4"/>
                <c:pt idx="0">
                  <c:v>290</c:v>
                </c:pt>
                <c:pt idx="1">
                  <c:v>132</c:v>
                </c:pt>
                <c:pt idx="2">
                  <c:v>5</c:v>
                </c:pt>
                <c:pt idx="3">
                  <c:v>54</c:v>
                </c:pt>
              </c:numCache>
            </c:numRef>
          </c:val>
          <c:smooth val="0"/>
          <c:extLst>
            <c:ext xmlns:c16="http://schemas.microsoft.com/office/drawing/2014/chart" uri="{C3380CC4-5D6E-409C-BE32-E72D297353CC}">
              <c16:uniqueId val="{00000001-8285-497F-AADB-CA41FF3CD326}"/>
            </c:ext>
          </c:extLst>
        </c:ser>
        <c:dLbls>
          <c:dLblPos val="t"/>
          <c:showLegendKey val="0"/>
          <c:showVal val="0"/>
          <c:showCatName val="0"/>
          <c:showSerName val="0"/>
          <c:showPercent val="0"/>
          <c:showBubbleSize val="0"/>
        </c:dLbls>
        <c:marker val="1"/>
        <c:smooth val="0"/>
        <c:axId val="276025904"/>
        <c:axId val="276026384"/>
      </c:lineChart>
      <c:catAx>
        <c:axId val="27602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26384"/>
        <c:crosses val="autoZero"/>
        <c:auto val="1"/>
        <c:lblAlgn val="ctr"/>
        <c:lblOffset val="100"/>
        <c:noMultiLvlLbl val="0"/>
      </c:catAx>
      <c:valAx>
        <c:axId val="27602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25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Table'!$B$80:$B$81</c:f>
              <c:strCache>
                <c:ptCount val="1"/>
                <c:pt idx="0">
                  <c:v>No</c:v>
                </c:pt>
              </c:strCache>
            </c:strRef>
          </c:tx>
          <c:spPr>
            <a:solidFill>
              <a:schemeClr val="accent1"/>
            </a:solidFill>
            <a:ln>
              <a:noFill/>
            </a:ln>
            <a:effectLst/>
          </c:spPr>
          <c:invertIfNegative val="0"/>
          <c:cat>
            <c:strRef>
              <c:f>'Pivot Table'!$A$82:$A$84</c:f>
              <c:strCache>
                <c:ptCount val="2"/>
                <c:pt idx="0">
                  <c:v>No</c:v>
                </c:pt>
                <c:pt idx="1">
                  <c:v>Yes</c:v>
                </c:pt>
              </c:strCache>
            </c:strRef>
          </c:cat>
          <c:val>
            <c:numRef>
              <c:f>'Pivot Table'!$B$82:$B$84</c:f>
              <c:numCache>
                <c:formatCode>General</c:formatCode>
                <c:ptCount val="2"/>
                <c:pt idx="0">
                  <c:v>161</c:v>
                </c:pt>
                <c:pt idx="1">
                  <c:v>358</c:v>
                </c:pt>
              </c:numCache>
            </c:numRef>
          </c:val>
          <c:extLst>
            <c:ext xmlns:c16="http://schemas.microsoft.com/office/drawing/2014/chart" uri="{C3380CC4-5D6E-409C-BE32-E72D297353CC}">
              <c16:uniqueId val="{00000000-D83A-43C7-B6C9-28D2DEB6D583}"/>
            </c:ext>
          </c:extLst>
        </c:ser>
        <c:ser>
          <c:idx val="1"/>
          <c:order val="1"/>
          <c:tx>
            <c:strRef>
              <c:f>'Pivot Table'!$C$80:$C$81</c:f>
              <c:strCache>
                <c:ptCount val="1"/>
                <c:pt idx="0">
                  <c:v>Yes</c:v>
                </c:pt>
              </c:strCache>
            </c:strRef>
          </c:tx>
          <c:spPr>
            <a:solidFill>
              <a:schemeClr val="accent2"/>
            </a:solidFill>
            <a:ln>
              <a:noFill/>
            </a:ln>
            <a:effectLst/>
          </c:spPr>
          <c:invertIfNegative val="0"/>
          <c:cat>
            <c:strRef>
              <c:f>'Pivot Table'!$A$82:$A$84</c:f>
              <c:strCache>
                <c:ptCount val="2"/>
                <c:pt idx="0">
                  <c:v>No</c:v>
                </c:pt>
                <c:pt idx="1">
                  <c:v>Yes</c:v>
                </c:pt>
              </c:strCache>
            </c:strRef>
          </c:cat>
          <c:val>
            <c:numRef>
              <c:f>'Pivot Table'!$C$82:$C$84</c:f>
              <c:numCache>
                <c:formatCode>General</c:formatCode>
                <c:ptCount val="2"/>
                <c:pt idx="0">
                  <c:v>156</c:v>
                </c:pt>
                <c:pt idx="1">
                  <c:v>325</c:v>
                </c:pt>
              </c:numCache>
            </c:numRef>
          </c:val>
          <c:extLst>
            <c:ext xmlns:c16="http://schemas.microsoft.com/office/drawing/2014/chart" uri="{C3380CC4-5D6E-409C-BE32-E72D297353CC}">
              <c16:uniqueId val="{00000002-D83A-43C7-B6C9-28D2DEB6D583}"/>
            </c:ext>
          </c:extLst>
        </c:ser>
        <c:dLbls>
          <c:showLegendKey val="0"/>
          <c:showVal val="0"/>
          <c:showCatName val="0"/>
          <c:showSerName val="0"/>
          <c:showPercent val="0"/>
          <c:showBubbleSize val="0"/>
        </c:dLbls>
        <c:gapWidth val="219"/>
        <c:overlap val="-27"/>
        <c:axId val="379429536"/>
        <c:axId val="379430016"/>
      </c:barChart>
      <c:catAx>
        <c:axId val="37942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30016"/>
        <c:crosses val="autoZero"/>
        <c:auto val="1"/>
        <c:lblAlgn val="ctr"/>
        <c:lblOffset val="100"/>
        <c:noMultiLvlLbl val="0"/>
      </c:catAx>
      <c:valAx>
        <c:axId val="37943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2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3446870800745794"/>
                  <c:h val="0.19072467363472434"/>
                </c:manualLayout>
              </c15:layout>
            </c:ext>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8692284437681527E-2"/>
              <c:y val="-0.1736383839232093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6718271538151102E-2"/>
                  <c:h val="0.18583242069060893"/>
                </c:manualLayout>
              </c15:layout>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3875456900554E-2"/>
              <c:y val="-0.105146842705593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5041621886675638E-2"/>
                  <c:h val="0.13690989124945444"/>
                </c:manualLayout>
              </c15:layout>
            </c:ext>
          </c:extLst>
        </c:dLbl>
      </c:pivotFmt>
    </c:pivotFmts>
    <c:plotArea>
      <c:layout/>
      <c:lineChart>
        <c:grouping val="stacke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1113875456900554E-2"/>
                  <c:y val="-0.105146842705593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5041621886675638E-2"/>
                      <c:h val="0.13690989124945444"/>
                    </c:manualLayout>
                  </c15:layout>
                </c:ext>
                <c:ext xmlns:c16="http://schemas.microsoft.com/office/drawing/2014/chart" uri="{C3380CC4-5D6E-409C-BE32-E72D297353CC}">
                  <c16:uniqueId val="{00000004-5185-4C5F-82F3-7A7182645F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Table'!$A$38:$A$42</c:f>
              <c:strCache>
                <c:ptCount val="4"/>
                <c:pt idx="0">
                  <c:v>30 or less</c:v>
                </c:pt>
                <c:pt idx="1">
                  <c:v>31-44</c:v>
                </c:pt>
                <c:pt idx="2">
                  <c:v>45-54</c:v>
                </c:pt>
                <c:pt idx="3">
                  <c:v>55 or More</c:v>
                </c:pt>
              </c:strCache>
            </c:strRef>
          </c:cat>
          <c:val>
            <c:numRef>
              <c:f>'Pivot Table'!$B$38:$B$42</c:f>
              <c:numCache>
                <c:formatCode>General</c:formatCode>
                <c:ptCount val="4"/>
                <c:pt idx="0">
                  <c:v>261</c:v>
                </c:pt>
                <c:pt idx="1">
                  <c:v>128</c:v>
                </c:pt>
                <c:pt idx="2">
                  <c:v>13</c:v>
                </c:pt>
                <c:pt idx="3">
                  <c:v>117</c:v>
                </c:pt>
              </c:numCache>
            </c:numRef>
          </c:val>
          <c:smooth val="0"/>
          <c:extLst>
            <c:ext xmlns:c16="http://schemas.microsoft.com/office/drawing/2014/chart" uri="{C3380CC4-5D6E-409C-BE32-E72D297353CC}">
              <c16:uniqueId val="{00000000-5185-4C5F-82F3-7A7182645FA8}"/>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3446870800745794"/>
                      <c:h val="0.19072467363472434"/>
                    </c:manualLayout>
                  </c15:layout>
                </c:ext>
                <c:ext xmlns:c16="http://schemas.microsoft.com/office/drawing/2014/chart" uri="{C3380CC4-5D6E-409C-BE32-E72D297353CC}">
                  <c16:uniqueId val="{00000002-5185-4C5F-82F3-7A7182645FA8}"/>
                </c:ext>
              </c:extLst>
            </c:dLbl>
            <c:dLbl>
              <c:idx val="3"/>
              <c:layout>
                <c:manualLayout>
                  <c:x val="-5.8692284437681527E-2"/>
                  <c:y val="-0.1736383839232093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6718271538151102E-2"/>
                      <c:h val="0.18583242069060893"/>
                    </c:manualLayout>
                  </c15:layout>
                </c:ext>
                <c:ext xmlns:c16="http://schemas.microsoft.com/office/drawing/2014/chart" uri="{C3380CC4-5D6E-409C-BE32-E72D297353CC}">
                  <c16:uniqueId val="{00000003-5185-4C5F-82F3-7A7182645F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Table'!$A$38:$A$42</c:f>
              <c:strCache>
                <c:ptCount val="4"/>
                <c:pt idx="0">
                  <c:v>30 or less</c:v>
                </c:pt>
                <c:pt idx="1">
                  <c:v>31-44</c:v>
                </c:pt>
                <c:pt idx="2">
                  <c:v>45-54</c:v>
                </c:pt>
                <c:pt idx="3">
                  <c:v>55 or More</c:v>
                </c:pt>
              </c:strCache>
            </c:strRef>
          </c:cat>
          <c:val>
            <c:numRef>
              <c:f>'Pivot Table'!$C$38:$C$42</c:f>
              <c:numCache>
                <c:formatCode>General</c:formatCode>
                <c:ptCount val="4"/>
                <c:pt idx="0">
                  <c:v>290</c:v>
                </c:pt>
                <c:pt idx="1">
                  <c:v>132</c:v>
                </c:pt>
                <c:pt idx="2">
                  <c:v>5</c:v>
                </c:pt>
                <c:pt idx="3">
                  <c:v>54</c:v>
                </c:pt>
              </c:numCache>
            </c:numRef>
          </c:val>
          <c:smooth val="0"/>
          <c:extLst>
            <c:ext xmlns:c16="http://schemas.microsoft.com/office/drawing/2014/chart" uri="{C3380CC4-5D6E-409C-BE32-E72D297353CC}">
              <c16:uniqueId val="{00000001-5185-4C5F-82F3-7A7182645FA8}"/>
            </c:ext>
          </c:extLst>
        </c:ser>
        <c:dLbls>
          <c:dLblPos val="t"/>
          <c:showLegendKey val="0"/>
          <c:showVal val="1"/>
          <c:showCatName val="0"/>
          <c:showSerName val="0"/>
          <c:showPercent val="0"/>
          <c:showBubbleSize val="0"/>
        </c:dLbls>
        <c:marker val="1"/>
        <c:smooth val="0"/>
        <c:axId val="276025904"/>
        <c:axId val="276026384"/>
      </c:lineChart>
      <c:catAx>
        <c:axId val="27602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26384"/>
        <c:crosses val="autoZero"/>
        <c:auto val="1"/>
        <c:lblAlgn val="ctr"/>
        <c:lblOffset val="100"/>
        <c:noMultiLvlLbl val="0"/>
      </c:catAx>
      <c:valAx>
        <c:axId val="27602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a:t>
            </a:r>
            <a:r>
              <a:rPr lang="en-US" b="1" baseline="0"/>
              <a:t>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Table'!$B$18:$B$19</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84-4268-B49B-260699C584CF}"/>
            </c:ext>
          </c:extLst>
        </c:ser>
        <c:ser>
          <c:idx val="1"/>
          <c:order val="1"/>
          <c:tx>
            <c:strRef>
              <c:f>'Pivot Table'!$C$18:$C$19</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84-4268-B49B-260699C584CF}"/>
            </c:ext>
          </c:extLst>
        </c:ser>
        <c:dLbls>
          <c:dLblPos val="t"/>
          <c:showLegendKey val="0"/>
          <c:showVal val="1"/>
          <c:showCatName val="0"/>
          <c:showSerName val="0"/>
          <c:showPercent val="0"/>
          <c:showBubbleSize val="0"/>
        </c:dLbls>
        <c:smooth val="0"/>
        <c:axId val="379401216"/>
        <c:axId val="379402656"/>
      </c:lineChart>
      <c:catAx>
        <c:axId val="37940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402656"/>
        <c:crosses val="autoZero"/>
        <c:auto val="1"/>
        <c:lblAlgn val="ctr"/>
        <c:lblOffset val="100"/>
        <c:noMultiLvlLbl val="0"/>
      </c:catAx>
      <c:valAx>
        <c:axId val="37940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0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per 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EE3-4936-9A31-1D77D8769839}"/>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EE3-4936-9A31-1D77D8769839}"/>
            </c:ext>
          </c:extLst>
        </c:ser>
        <c:dLbls>
          <c:showLegendKey val="0"/>
          <c:showVal val="0"/>
          <c:showCatName val="0"/>
          <c:showSerName val="0"/>
          <c:showPercent val="0"/>
          <c:showBubbleSize val="0"/>
        </c:dLbls>
        <c:gapWidth val="219"/>
        <c:overlap val="-27"/>
        <c:axId val="283315872"/>
        <c:axId val="283335552"/>
      </c:barChart>
      <c:catAx>
        <c:axId val="2833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3335552"/>
        <c:crosses val="autoZero"/>
        <c:auto val="1"/>
        <c:lblAlgn val="ctr"/>
        <c:lblOffset val="100"/>
        <c:noMultiLvlLbl val="0"/>
      </c:catAx>
      <c:valAx>
        <c:axId val="28333555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a:glow rad="38100">
              <a:schemeClr val="accent1">
                <a:alpha val="40000"/>
              </a:schemeClr>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1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Purchasing</a:t>
            </a:r>
            <a:r>
              <a:rPr lang="en-US" b="1" baseline="0"/>
              <a:t> per home own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Table'!$B$80:$B$81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Table'!$A$82:$A$84</c:f>
              <c:strCache>
                <c:ptCount val="2"/>
                <c:pt idx="0">
                  <c:v>No</c:v>
                </c:pt>
                <c:pt idx="1">
                  <c:v>Yes</c:v>
                </c:pt>
              </c:strCache>
            </c:strRef>
          </c:cat>
          <c:val>
            <c:numRef>
              <c:f>'Pivot Table'!$B$82:$B$84</c:f>
              <c:numCache>
                <c:formatCode>General</c:formatCode>
                <c:ptCount val="2"/>
                <c:pt idx="0">
                  <c:v>161</c:v>
                </c:pt>
                <c:pt idx="1">
                  <c:v>358</c:v>
                </c:pt>
              </c:numCache>
            </c:numRef>
          </c:val>
          <c:extLst>
            <c:ext xmlns:c16="http://schemas.microsoft.com/office/drawing/2014/chart" uri="{C3380CC4-5D6E-409C-BE32-E72D297353CC}">
              <c16:uniqueId val="{00000000-E0FD-4899-9B07-DF0CEA3D59DE}"/>
            </c:ext>
          </c:extLst>
        </c:ser>
        <c:ser>
          <c:idx val="1"/>
          <c:order val="1"/>
          <c:tx>
            <c:strRef>
              <c:f>'Pivot Table'!$C$80:$C$81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Table'!$A$82:$A$84</c:f>
              <c:strCache>
                <c:ptCount val="2"/>
                <c:pt idx="0">
                  <c:v>No</c:v>
                </c:pt>
                <c:pt idx="1">
                  <c:v>Yes</c:v>
                </c:pt>
              </c:strCache>
            </c:strRef>
          </c:cat>
          <c:val>
            <c:numRef>
              <c:f>'Pivot Table'!$C$82:$C$84</c:f>
              <c:numCache>
                <c:formatCode>General</c:formatCode>
                <c:ptCount val="2"/>
                <c:pt idx="0">
                  <c:v>156</c:v>
                </c:pt>
                <c:pt idx="1">
                  <c:v>325</c:v>
                </c:pt>
              </c:numCache>
            </c:numRef>
          </c:val>
          <c:extLst>
            <c:ext xmlns:c16="http://schemas.microsoft.com/office/drawing/2014/chart" uri="{C3380CC4-5D6E-409C-BE32-E72D297353CC}">
              <c16:uniqueId val="{00000001-E0FD-4899-9B07-DF0CEA3D59DE}"/>
            </c:ext>
          </c:extLst>
        </c:ser>
        <c:dLbls>
          <c:dLblPos val="outEnd"/>
          <c:showLegendKey val="0"/>
          <c:showVal val="1"/>
          <c:showCatName val="0"/>
          <c:showSerName val="0"/>
          <c:showPercent val="0"/>
          <c:showBubbleSize val="0"/>
        </c:dLbls>
        <c:gapWidth val="219"/>
        <c:overlap val="-27"/>
        <c:axId val="379429536"/>
        <c:axId val="379430016"/>
      </c:barChart>
      <c:catAx>
        <c:axId val="37942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30016"/>
        <c:crosses val="autoZero"/>
        <c:auto val="1"/>
        <c:lblAlgn val="ctr"/>
        <c:lblOffset val="100"/>
        <c:noMultiLvlLbl val="0"/>
      </c:catAx>
      <c:valAx>
        <c:axId val="37943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2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00000000-8B70-4BBC-80BE-A10AE144F36B}">
          <cx:tx>
            <cx:txData>
              <cx:f>_xlchart.v5.3</cx:f>
              <cx:v>Column2</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dataPt idx="1">
            <cx:spPr>
              <a:gradFill flip="none" rotWithShape="1">
                <a:gsLst>
                  <a:gs pos="0">
                    <a:srgbClr val="FFC000">
                      <a:lumMod val="89000"/>
                    </a:srgbClr>
                  </a:gs>
                  <a:gs pos="23000">
                    <a:srgbClr val="FFC000">
                      <a:lumMod val="89000"/>
                    </a:srgbClr>
                  </a:gs>
                  <a:gs pos="69000">
                    <a:srgbClr val="FFC000">
                      <a:lumMod val="75000"/>
                    </a:srgbClr>
                  </a:gs>
                  <a:gs pos="78000">
                    <a:srgbClr val="FFC000">
                      <a:lumMod val="70000"/>
                    </a:srgbClr>
                  </a:gs>
                </a:gsLst>
                <a:path path="circle">
                  <a:fillToRect l="50000" t="50000" r="50000" b="50000"/>
                </a:path>
                <a:tileRect/>
              </a:gradFill>
              <a:ln>
                <a:solidFill>
                  <a:srgbClr val="FF0000">
                    <a:alpha val="98000"/>
                  </a:srgbClr>
                </a:solidFill>
              </a:ln>
            </cx:spPr>
          </cx:dataPt>
          <cx:dataId val="0"/>
          <cx:layoutPr>
            <cx:geography cultureLanguage="en-US" cultureRegion="US" attribution="Powered by Bing">
              <cx:geoCache provider="{E9337A44-BEBE-4D9F-B70C-5C5E7DAFC167}">
                <cx:binary>7HxZc9zGku5fUej5Qq59OXF8Ii6AbnCnVtvyC4KmaAAFoApLYf31k01JHnazzR6dOxEzD1cRNkWC
6KzKzMr88sss/fN+/sd99XDXvZrryvb/uJ9/fp173/zjp5/6+/yhvuvf1MV953r3p39z7+qf3J9/
FvcPP33p7qbCZj8RhNlP9/ld5x/m1//6J3xa9uCu3P2dL5x9Nzx0y/uHfqh8/8Kzo49e3bvB+t3r
GXzSz68/2cI/fHn1wd/5h/71qwfrC798XJqHn1/v/ebrVz8dft4z2a8qWJ4fvsC7VL/hiHLJqESP
f+jrV5Wz2bfHgdZvEFZUUM304x/2XfbNXQ3v/5eX9biouy9fuoe+f/Xt67PX93by7GnRu+irUiK3
W/unD4+b/Wlf6f/658EPYPsHP3lil0NdnXp0aJbozt59ufuuk/93ewjyhkuqlUD8qz3IgT3EG4EU
RoqTv55/9YWv9ji9nuOG+P7egQW+//hQ9dH//Z9X/acPsIj/fw7+d5yD64e5uHf/ffYg9I2mlGsq
+f4BwAhOCNISMa6/i/vq+qeXcNz1v7934Prff3zo+te//Xe4/t9HpL+idXzn7zaPYf5JUHr56fdo
dvDqS6fk6wE6//Lza4wg9v+VPHYf8e29r+o9uyt88V3jf/3+w13vf34dSPxGEKIJU4gJtbPZ9PD1
AXvDpJBUaimQZASD0azrfP7za4LeIKUgrxBEmcYE49evejfsHmH1BhEwvVYMawy/w//KrW9dtWTO
/qWHb9+/skP91hXW9z+/BhHN19/aLZNz8CLNJJJYcYirEsPqmvu795C+4Zfx/1lVR4NJ5XJjx3Ga
wsIVLilKpc/dUrA0zIh213Icg4e5L/2tmLvMxE80dWQFOwnPV8AwZ7AYTZTcXwExbem6tpObzLpy
27WURiy3eEPK9PZlSZCOn0kSTFOlCQFZCu1L4m0XpDWaxKbGuI1Rs/I4t1V9Yj/PNQo65QpTjjll
kkOSeqrRXFXIkYGxTTCW6LZzC+qj1rmsDw3yiG1JXfmztrXBjZgH/us4O1JsX97oTmX7KuUa/EkL
Rgglmu0U8cSoWtpWGkPYZunaftOIXlxXS6rjuerrZBbcRhSlwdnLQomGI3EgViBEMJGQg8Ge+sCS
mtRpW6GOb5BtTBa6vMjRecAq6qM1J43e6Bl32bnv8LRGuW6tDFPElyLUTeluMx+wT82KpiUcy4pf
2UZUPESjaO/KwussrFyWFaHpNL1s8doVYWPWcgnn1RIearrOZVjk6SqiZbGZDmGl2CedytlHpFw9
JwWfiQw7aQr2xeR90EaqCey0TfGUfsppYX4DY5n3sqLsD1W25bhdENb+rDaYVZFotXifLbr4fZUz
F+88z6v6EyvnioaaL605U0MgPmd8SdkNrXQ+fCrZUiXMmXXcKltiEmGx0j5Evh5/lVNe2A2emW5u
0qEiHzIhbR8thTSfVrEOONGsYiwUU66r0HVMrBtL0uFOtAbf04yjGIl6opduLOY5TGctxmhlyIuo
RSNuIoZHea2GtV82XILaQ2nylIWD8TwLjaqqJqrBKejWmqBxcdOUQRuPfh7qmHhPmrB2U5vH3jXZ
ue1W1W5EXVMTccnrbaFkh2M2LOsUVunAb1RezB+zJpt0iOt11eFcrepKTnXRRR0u1H1dzbyMmOJd
HZECs3jV2CSoKFMcLmJd5kjAQRmSqWoeAq7xh7UkpgjH2Uw6In1d/9nqguVhtsxzEYI6x7e2G/9w
pljasDKODWGneJ6FTM3tferTOlqDHp91wTTKTcp88a7yMr/SvdC/ddmYP0xdUfchDZD2oVQr/a2i
Y5s0feUTyQJ1WZeLHC9NoNnntgmqt6SlrgmLnrALO2i5hnKm5HqetUrDdcX63SiE7GJRzMKFeM7I
NitdUceOyH6T+qUV0WQRW6NRselmxvnQRqyeLY61G4oi5CTIf2nKMX/XVGUVbArW6OEsS5Uooqqv
so0yaja/1CMozYZZIUtxMQx514bN2jJ7MTOTrle6nE0dN6TW7wup2yHKA12byPXlmvRzF4wRWRRv
4yG1tIrXIVjXuM+dcGdsqrI/2LgIFlpdmSYkaaNE5EfPwlY7c99IV9YR9SuqNw0fvYtILQJ6a+jk
02ixg/Wbcu7djWHWz1FRp+v7ZVjcZ+VXcp95V/BwboP03eKMus1LI0WIeZN9agcJPm4m3D9Ip+xb
XSCGoqzqzbulwD7bmBRVXUyK2vRbxQP+CwtQ/XtHZvuntj5QoW6r8fd+VekfOENzC8EF5zjkkxVt
2LOyRmcNEzy9HatuQSHRqKARktkwRKZyMw4hllcqQmiesrBzJZwTLI1+K0ae+5iMFv+a1iktI2yH
DHyw5q6O+sKSG+QNLUOhPB7iclg8/L0N0BznZADDUMwx2RbINSwmE5EsGgu9fm4DEeThWHl7xzM3
25Dk3pmtrYdZQCALCN26kQQNHFbVkbhQNM/jdOgWHK6210HYBWuV3dKmN31Ey3pUsVDNVCfDSJs8
DCZk20gSSETJ2sxdFXo4O2u44DbvQ41tDmEAFQSCy6jmu3noAhmXTjZog+YGduYlDdYQcEOWbVrT
0SmexwnlFywtSh41k6E2nkpl71TG6rcreG8epm1OaEg7t96KJbA4qtSY3uuhMWwLx234XGUB+tgG
vErhRCiJwpnL3oQdIpOJetPgLCYMdSoidqEy1l1X6njqLf9YO+PlmXXUdLEVanQX0+DBM+eyE58G
rLkJG2RVHaWiL/GJrCYOcppAGBOtJceCMaaY2k+lykEEGmzFN0E78HdV/87hlF+YtWreMwm6ejmH
HpNGEcVKCgBkgAr3pa1uWp3oDd8UlQveTqRe42kK1HakFbvOjX94WRzZfd5ToADlsoaYS4HDQAig
yoG8rrNrByGEbcY1G97lqrB5mPNBzhHq9DqE3FjaRVNuzLQxwYLsJ+JVkMZ+BMffeN32Vdwy0Syx
b3t2jQbb89BlNEujYLTLdE115kTcVkG/RGwBZuXBQuaT4cv7wM/3gYRAAjI6BVSsFKDlp4AHCzUU
PsjUphqmIItYLzX+g+VjD4loLbW4BKw0k/PW1KiPZ4z6LlxWEvBtC9F6+AoAv1Ulb7/q7yvGvnfN
0hVZ/o3C+uvbf11/58Ue6ZX//PmOBPvP727Hh84P3cOr67umf7Ud7JdHauzwnZ3kv14Cwd9WsqtC
9r55VhD9TcnzlXX7m4f/tXqIAKr9+3LoY/7wKrzL74AhfFoU7V76XhORNxCAoCTiWkAVwxCchG9V
kUJvqAYUiajAlChMoGD4XhXJN4QKLZTWbPfO7tG3qggKJviYHeiUTCpEJP2RquiwUgBsqKDwUpRA
VSa03GH8JwCad1O/QPBuEp2PLuJ04qHtRPODMP2rFEWEoppzcoiXMz4MjM60SbI0jUafaoDDuo7K
gE3h7BYbe8vyExHm6M4YBooAFEnVYQ20unxdFzixSc2Ig/qg76IANf3XI/CVTPx2Ap5WlTtD7AWW
3dYoYwiIUwFFpTgIm0PmfD+kfZM4XLdZzArLRIxy7WIHeKuOM+xQEwIqy66WygdLuGZBdUGtLfi2
wy0/b1E7k3Co6j8KMuk2nKwb6AcjPB0S0khWhPnSB1dLbgPydsAc4NZQLIu5ZBBZrweI5LcNrquz
vvfB9RNfPrI5vKvgnkZNRAijSkLkhIKeC7arg554x+RWPQx6dEm/BuxtQEi2hMzmJKpVTj4NYkjD
ZWpc1Hudbk2HxjPGGrNdAD3YMGjldELbz8LfbkEMY+CglSAaEPj+goSGUkvJ1iVroMQFw2T+XEDK
Dlfkll+WQFdvg5WWSRaMIpyVpTFAFHb5slaeOxaBOoIRCrhAaL070E+Vwh1Lx9FKm8i0mn4tRF9f
j7JYTkT6Z35FsYBchRF8UUKIg50GBbIom7IqKZpxidTkqgskAABWRdCd0OphEY0g+AA5AwyLBkHA
xOxviHFPcI9snrDatpf17OdfPSXYhsrZT2iegy8460bzo+cTpEoGxAGHQwrV+0FGXhraLuA3WZLx
HGUhMnN1MZR9fQLWPNOjBFeBbAnqBLMpfaDHjMixxR63SaGlusgLX24qBafHV6360R09itoRXUDv
KCAt9/WYNrpkcz+1SeB78xFq0Ms+kN0JaucQOCEQAnbCAAIglML/9oUYS6qJmqZJihRKic7P5Rnx
83hbd7q7rgYufzR0S6CqGAVRCmMJXYl9eQUkLy2WuU2cmt4SWlytzPTxEIybeg7u+WybE47/7HiB
QMFBJKQjRYFX2heYQhRcAfxC3FYii+rFpLGlOf9xW4EUDRBUMIHgKO9LkYOFko7KJsGW6HAlQ7/B
GErpHwwVu73AfxgiqEacHKA1WXjQaMWaZOradLOY6Y8Zy/6EkB1Duh+ld1LgBAMsoEKiR7bqSZRO
fTu24JWwF0bXaMKTjQhefdit+JcaL+JKpaY8a8maR6Qaim1LbLZxExIn4sgxy0lApnznKEiS3fMn
6yB2rDhJwXJT0zdRX2m6XS1PTzjkI1G7l5Rgu5KCawD3xgjYcF9M0ZZC9Ri2q1PdxMoTH5p83JB6
+rDU48e8bYqwoFCiIZdkRXueNvj3OZtNmHW8iqCqCUKddSdWdXTvEMhA/xhIwUeY8GTvjGdlCiVw
kyx0+BikJNiydjkFo44JUURCkAavhVS4iw1PhFDeFwJ1IKRpvE0CKDwiyVh2wp+ORExg3AE3CEhx
QNUfIJq+V6Uz7dwkaWfR2VA2xccSotrF3EtzIjjvPurQlJDIERGgMgoIeH9DCxhjHLqhSUbngzCF
0najELfA6pgmGuYyCHndLpsOLc2JTT4/NAohDPGTSQ3YRtID0anIUsMa1yRi6sfPZuD2wvZZkDRD
38QU0NnlICf30IMHX091WV1UjKaRSPkpCntntD0dKISplEDFAMACsH+wkAAJ6rzTLiFZ+ydCgdk0
y1gBj5bSsBzGMn45JD1L9ruSAWp82D7EJWjW7Ku8T1XW11VgE8NqU0adbTMSjuC+Nyb101lZu3TZ
1CNbPr0s95nvglwNWAYJxeDo7iqkp77ruZg6Mw02maBauhYSTm2lM34iO7JnsXAnBnA4VFwEelDi
IOLO0FGX87DUSTUE/lOr1HKul2o4S7s6uFyadoyUX6bzvM7zxAeyupG9opu6BjAghnr9DIpbzpmq
eRNVfBJNzCYzb7LF6Y9yYL/VrFrelQGkQahdxkSQHoxUtu25NpOPoWfUXNBg8KFF8xAHAR/eUcnG
TZl1ZWirEV3aYc0vU9T5WLGg2FBP8yhXtki8h5hUZkOaAIFc3jT1KuJlhbj2w2agSCCNoXqEP4fg
NdB9BfTcYpN8WXhcI4DorRk/vywEH/FpkCIBboldgYsPQshEgqBaytkmXVrdZ01xOwtho6Iogkjj
sYjL0b7NafDBonVjsODhlIokH7ItocD4YttcubnrwrnRp9DFs4gD1S6CshkakXgXRA/QxZAWo1Pt
Cu5P5uF8xV0Xrw3VISEGRyPO4AQQiAKswOrEwXsWVg8kH+iEt9qoAQjLpJ7qKRpGPoUWiPe4Lgb3
7xhZMVA+FztOb7eUJ3kiG1cyoWGyiepmvgFqOI9akfPwZSsfOdEUHAloKMCGAEoPVFnShqYm2J3o
Hpo4tAa70jX95ceFEAnpnqFH0HsQNlDA2wLNQZ10WLXA4kNfy00TPmGbY14BvASBVAScJFBr+woT
tMtk2hiwDYCLbapY+VueTjxe+sldAyUoLqbMj2HZBcz+G1oUgJegJwznksqDnD6WRTFUdq6T3LLi
F1YhGwfdxM9eVuOxAwndbxgpAkKJwqzX/gbXPl0QV0WdkLoVl7ay0w1ExTx2WcGiLmP53cvyjigU
DAbkCwjkO/ZgXx6Zp7klwtRJMPZBwulQhN2Y0cQ4NYR+sAP0GiTkGbt0J/S5A+4H6RSmBYAZ0xgj
qMMOJOtKVePkxipZl7qLeQ9N9nVYu5iWnfkgwKibTNouzvqiDV3T4KuXN37kUOyJPzh60AWwTTD0
VRK0bI5q15bRLLr5BHo5Yk4GM4cCYBNkOsEPpJRzSpq05yAFhibOZkCeZwaIphBDN2bLaedPBJTn
SoVgCQGFKQV4ieqDWn0NZkDVLq8SB89ia9xvE0SFz0oZEelBQA50ObsNcumieh7V+cs6fe5M0CKA
swmDQBBsiDpw3olmaHQCNQkMUNxCjNbQj5XBbTt0XVQ1tgYGvkc3sspORAX6XM1YAe21gxSQyZQ8
CD6YtlNWZKlL2rbw/XVZdynMJhomg8u5aukDAfNCBdIFbf9uHvL+GsoA3kfTkiK3qbNZ/7prDkfQ
ZYCwIZZOfO56aFZD+4cFd5OppAnxssxd6KH9BRMAgwcWVK6Lf4/KQBZRMwxQtpAsxVk0T6PHW6JM
/4vlfjinZeZ+HzJZTFGjmqYJs6lXt1DnxAS6buozzZSCDpmb8t9LVXcPL5vkuZtD7wGAM5BFUOzB
4M7++Z58PZt0NE0idYA+95CxQ1907vPLUp5jVQzjX1BMUQByAsLJvhQ7rrQOWu+SAAiONJuv8KRV
mFL7US0dtG17pU9Ej+cEo9pVPAIKEqj+OcTLfZEtKvpcdYVNEGfDOcwdpBcLcnMM5yO70CQ1YVpO
djPXTQrsS0fMbS+nUyDt+b53i4D0DSBlV6McOHwNreWS9GmdjHqHzis9thdDu6pzaLavS1jLDF+i
VK1fXlb3sc1DAgRHlxCyATocgGch0jxbOasTDz33rWkcuoHUH8RMdiaeJ+9vityo31Mv+1C63m5N
a9bk5UU8DzWEAMcFnKSGTPx8tCbIuxrlK2QOS5uPFZXFOTTT/EZOrYmgJ12aELh8c2lyP21ZWcoT
8o8r4ckCDjzA9YBk2pRAj5nO7l3rV/NuZrzcFOMUxIbz5jKD8bJtUNIqGpkLwkITccINnx+vfSUc
HC+YoUAyXWidtMVwl3mr3nO29idy9DEhMIsmHtk9+HoQ1H0P9PZI0M7LaP62HxkKManp2cv2PC5F
7bANWBQca/9A5Vk5DU0H+EamDMUe1+Rtly7qRIJ6TgopAq0BoNhggh3DHOFBqKCj7jumWoBRpoaJ
HjblH+Z+8TF0EYJrzwsbtcMMkzQplPPWVitAu7l8UDCytVnnQNzYhpdn2TKUMSu9+WFQsL+4Ax0M
IndGY5hIa5VbE1LZ5V2Qym/d2L9tRe2S/j7yASlcyt0gP/Aa7MCeeT7RdsCgAsua6hOlrb1a27LY
GJafqLKf50WQJBi0Xzg0vyBC79s0bbqsHFhVJ8ta4Eh1loa51PmmKbrfvbSnaoBT4g7CUkAgq0Fy
AXGoSiPqqIhFl6XngipzrtMgiF922aPyoMPDJDS9gFrdufST8qn32dQWY10naEyzTzV1OAn6XMR5
Kz2w0i79YTQH6pSKAmyFNAI9kX15U1oLlS0gL7VDcFVNmdyUC2sirfolIek0/rg8ijj0kCmgKmii
HUQXa3uUTwu0lmAwb42EGPKN4u5uxWt/KdfabV9W5yPLfeCYFCpEgjShGnO+0/cTfQaZgwlXF5QJ
5LoxFKb80zcqyrzfuszeBqjIwnEF8FqUVyZoL4pUxbJ2cYfLbeCyKwe9Phg5MttC2LhyzZZWLgEo
FucVyk+Y/kjmBVoZHEfD5QpoPhyYYkyh9zA20EFkFQzuKKAfKL2FTn0TqcXruO6wPmGM3dk/VA5M
3AAdB6wu9BUPApfMMpx7LcqEom5KqIS5NeWLMkK9uc6EFReZXBFQJ6I/ETKPBGZo+UHzTQDC4M9K
tDFzqw3cXCbLNPA4aEwb9y73JzIZ3mGVg/0x2BiFMV0B3SO+e/7U+BKtk0vzMvGlVVEFDa2ttHl/
O3stz6ZuLS5IKte7yhc01nhAN2ic9TmvujJu2KhuigrGbF92yJ0RD5cEg+C7QQRoCkL9tL+kXnc2
rVdTJtJxdE5hri5mqMAxrdSpJudRURBJYP4DLk9BLbEvCob1FJC7sPvSsyKxyEDhm/n63Jf615c3
dcScEK+gnQrgdUf9HPhRTVrEVK8M1CopjGLSttv6UpkTqtut90B1MOwNHQgo6mGg6pCt6NHClrpx
JqlH8Bw1Yv1hMCOCIct0TWw75h9f3tUR/cFQ924+TAF2AN5yX3/QVx+hHqQm0RlmF9AAmbey6JYL
NVh34ugfFQU7g74Hgj7OIfIfApicLog3SV6PK2SZvAvXhZJzMRh2In8+etiBGrWgGLqP4BmSPzNW
j90wjLoAEh5PH3Wbs0iPpUt4M3ZxV9b9WYc6dLbaJd+KVrDrNRD2nEID8ZKqPH2XFzB1vwAj9oXK
jLdhMHO4g5iNsZ27IkZjXUaihP4BrQJzKcoKJsVtOt6WK0ljDhPUUb901Y+ORSgg3ilMxEOtBmN2
aqffJwd9QKJs+xX2NEOzIxZjI8KFD+WJcPk8QAPnqCBgYuiUELhPsi8F12lfVGNTJK6FYXPHG7EZ
uRoSmAl2iRBBum2BaNv+qBdCUoDsvNsVNMbkAQChS+7HusoLmFTn5RamjfmmdTCvI+V4wt+PVB9Q
9QCM+9rfh4sq+/ubA5OjXNI8GToXJNOg2BZTTy4G19LNlJMCbli0/pZP0EGYJk0ikXX2xElgIGPf
O6E/AwNh0IShkNsOR09GKO1amEcqkg5GjrbcVX7DZ+5OWBIfFcOA3IWIQqE0ONjqMAQwL6F1nlQw
GwcQIAvwpjMojYM1naFZm9KzCiZErpra2fM87bLbRdvfs7ThV+s00nABJ76ky9omL1v7+dQTQDEw
M1APHGhn+GbfBhh6LxTuOe1sEKTnQTHNUTtn/RmvVxIu1s43lox+U5uxjiuyyrO1cTyEexrrJu1h
Qurl5TyPS7AaGPqA5AmxHWqb/dVwMU+sdSJPsl7wz+myoO0IxVCczyW/eVnUcywCVof9Ah8NeO3Z
EeY9pGfqeZkgcG9gTPsmNAN0ruAqVhsKy2joMxjiBgLkFNV2zO+hdiEMrvTBWBBwm/u7JIMvxoW2
ZUKMDjbzTEwIAZQB7zJOZ35trtgSXKc8rcOlWUiictp9eHnzR/QMNY2Cy2iQRQEaH8QvOQ1wx4Bk
JaDw1m0o9OjOqFuGqFOYnzhgR4IYgUQDo4kwjQv02UE9CBdwcrE8ZjVC+osgF+qiHq0PYW3lpudj
Gw7+5MT1keNG4ETDNCnZXfI+HBySwjaLKSGVLoQGURfgLoYm5Um8d0yNctdeBp4Y7kbJw73ZVlm4
pWESSHw36wz3H5ZaoXOdqyxqcOldaBo/xSjFAORRUJyLni7xULA+tGnWQuNTBVfQOrjEDW5++XET
SxhwA14JWn8Q2fadLKdZJdS8mmStlptSsfbKqLEJYViTXbws6ZiyIVfsWtAwHQpXHvclsRJ7uNRV
m4S2wqwhXChSoWRDn58IDs/xGEzRQYdFKv445HrgtADGghU3FqAYXXCUMgHXgor+wRB0C3GrOiHt
mN/uOn0YZvYgMxz2VnxHUM5hliiBCjLdrj0DzFy0NlxY3W5zmVXxOFTsRJ445lAwqAAlCoyiwm3D
g4xvKq3badYAOa0rtk0jsq3QgG7pSE/1TR/70geZb1cTIMCceDf5epCSkC5wPqEUHCTAH3IvwqLz
NwBAr1JONmMuzwxvz/sSuFG4zEVH+R61LQww9zeq6GObAes+dTcsnT/JZjx72aOOZSW44Ajk1uMV
W80PDpaUZbAA2DNJBdRnVBZMRmJucChxMcWiLvl2Ml1zs3LizmGL2WZI1zGRwSBgnCY7xSEcqet2
9y0fp50ALEMjYN/D2x4wUdnBWTLj0mwKJPDlXHd31dCUb7N+ej8ZuLgH0+DQGICx1agUfr6oRt5t
aOv7bQ63Dk/4yU7gM9txuBC+60fDyPLB4bYw9wE3bCDwmEaycxj30KFtUBulFpHzpqbQPc61+NWR
fDxb1ubfAE0wkAzEAQLP2U0V7etjlNLlaATz6KmBYh63LHIwyHUCmxzdpASGAiag4TY1oftSUmcB
/QYLSIG2SZQD4/kLUguOgY3mcDmQoGhRI4IbZqy+6R2jJ3T8uItnSoYyEzqrQkKH5MAJ4cZdFmg3
QpVZYShe8nfDuIZDK84nXEYNUhu4OhhxMLAY9C21EIF0a26BE/zYTU2y4nTbIBn7Hoc1hlGLoryA
y1sXnpWXPcykMGvufdlcyWy8gsFFuN9ZvkPN9CdfmitLoNFFig3n2Ue4SvZ2QdkNtjSCGZkIpmZ0
KCqTzLqMVk3eznP5a926+x1qlV27heL4AkZ2t1DKXVMF52Px52WQJmiawxYGcuD6HFRI6rxsm+1E
+ZmBK6ZNkV7Omb4QMK40+WE71OS8DvDbRtTnaMnug3K6zCe4/Dzkt6RcCFzzchAEqxhydzQJ95sP
6NmoeJLO9jzFQxmqqT0P+vbDy4HhaHyU4PA7+pBjfeD3kg5ZO01wEHML/dCCzmhb+7yAZWj98WVR
x7IaFF8wrQY0HoWWwb73zXClb9DlLn8GWCW5hgvN2VCdGvI/LoWBHKAYAEkcQMG21Aam0JBJ4G5z
ezGBJ4UiIO7fyNBawZjY400CGIXb30s704pUYjIJG/AaZykycVDP1fnLGjtiHDiIBDIKkApAfh1o
rIGrwJWFJm4Cc1JwE7hpllCVNt2WzamO7O6TDk4mSIIOPbR0NIgk+/vhY8dywyAyLEKtV2NQsgiV
Tp1TV5rYlI07USscsRLgOwqlKoyRwa26A+RRA9XnBwI7q4CFvxymwdwsIj0123xcCsRJYKt3ndmD
eAckwlAjQJFJPXR1WNVcbLIRcu7LVjoqRcBV26/A/9AXJKDUqdrpzoqlvRSFHmOo9+oTrM9RX9j9
AxQAnYBy3f0bGE8JEsjYK6H5YJLB4GzLfL3EU2YbuLTeZJuXN/RIVj3zBqisFTRo4Lbt4cWd8T9I
O48lt5EgDb/QIgLeXAEQZDu1umVHF4RGMwIKHgWPp98POoloBrmavegkqViFMpn5m0Q6PSk9ko5s
4XrwwTNKTAAc0U0nqTXp86CU9XoQupPLCGpYbwUrReLpXpqli1QVc4EHR1HN1uec1CLkZc2/yFRv
P+ar948Vr+tBmXvr8yzstjjkjgJZr1q84klbIDj4beOM5v1gNbrl8zf6D4k6DYqfatM4HefFzoj1
HW1Bvkhm98OBjRrlwkN6piamV91z4lvtJdalh1xzLMevthTZEBSynPpja42D4wvEVlNQaaN9LGr4
xUEsa/0vlbw984faLO9KbdSBMw3rB4QUa/aNEkShQsf6LNsl0itdc4JuHhAL1+Bp7ycXOgbEQ734
1vSevv2+ZT7ZycpP7T1rzIPOLe2vRaOqr71dI8py+15+SVut+3tdQWiDdEgbL+TNzr9yZO74lxWq
0sIyD4ZaWAPOD1bWB54+2n8ZeWa8StIgCxbUlOdBNWJ+4Le5k8/+4tj1i4T9eRpKrcnCDoeER9Zs
WO8lXhOf2txt7xbKve9LO5WHYUlrsPhVf2onbYhUaylPnnAEqnKhz54vG41qpmO36xejm13AhVhJ
bxmBXMgLNvCKWgkQL8Tb3c5WpBa3tWqJI3Lx7Nh47r+D0SW+K7P3qmyG+7pzzRuB0KUjS+CNY9nG
cASmOz9MMjUq8kpq6k5fKuHcKeshFXZ6o6Z56VLlFKmuQ9FvMzo5H2VIetYT9Pg4kesRy+jWiNDc
miNdi5enddLa6PrBvXRHUEL1YDohcrP2yKqqTurUWUzL6KmGuTnbz6wpyEyl++n6SJe+mevCBIRq
wZfzdgtYjeVKsWoWR2FnfaQkhvuqVAvl9XKZji2Z3t+FvcY37qVL64kYBloNNWDC1+1H/VYjLgZ9
jEUD27maZv2e/TneGeVcH+ts/gG+pt7YJBdWkyLx5pHGGwULeRetynhwtAqV+RGzgDLwcmtz/xD/
rMiPbkzsUnbGUIA8VKYhO+wxY1dfZZfXJPy2K8uPccFjoro4h7RQaQJhto6vQQM4GF2WhlOc2A9S
b7pDshJ8JqN6S41y4eOe/ZptYX5bZ7fMWkeNwTLmeQrGuu4DqzTLcExymMC5Ut55Jtfd9Q11cbEN
uDsbyEvgthuz77knHcn5xwjRO5hW2oRDs1jR6tRGeH2oC9vIBLl2iQ0pMXHrnE+Paz9xed0Iede8
OEFDV6Mky6qgb83uoHbU6K+Pd0EsAlDz24C7MGRys2HGJCQ7Ois8vSSboR4lJlVCGbehVXVjAMap
3NVZVUV6MxlBXzjeAdncjaBrO5S7Z52COYQLSkrU19zdoZ0s1Ki5RqKziTvCUfYNRenqm17M6iHz
nPLQd2Z7VGWunPRmuHWc3pgoUAs3qdRbVF4pQqDiOF93aE9zlTk6d4Za5YBO9aH23GDK28feHv5d
HftgLiKyc/k5nrI7+CiPBHAB2yFU+uavWau/Onp8V9jls6OOwVwMH/XBW24c+gsvg4l8EHBtq0LC
Bzr/kSPSqKTdEKLJ7opAZpV3yId6urHbL4ziWRrrQInT26SR56PkUN7VSknASBZ38odBr4+5m2s3
5nJh4206Y65nd1Mac67Oh1ELXHsaQdosFSjUU+uVBzvv81O5zvEdeLDz6ClZ81pXRXxQZWoddFuq
x7ITP6+fgLcnbgMqSfoc7kaQkd3hnuKhW5y4peiX6vVjbnX1qVUM/UhKWH9vW8M5/f/G237PbxeY
OuiJVOF4RM6SLaGZweTC3gKTlnTBl0WX7Q2l+y/h+PnJMjcvFjjjFOQpbeyuFN1j0wComBGqqPS1
MdLVwqMgRwQdu73h+CtE2+Fd14zNR3gaglp2Z9UfRdwZvW/U8WBEreZUme94ixwJyCrjoU87dwlX
OJVd2CT25B7SMYNJsi6dg6mOYZUq/l+x9ho3HBe/6MScBV5RZ/qjK5e2pcA6YC6WDhIrj26Yje+D
Z9W935WVTH0VLvI/XpVP3xE4l1+FU/cEvPApal+amRzDfu3WO5maehtl3UrJvVIntwjMnLTX1xRl
jZa5UF/RWqpY1BRt7967VZyXp9iqWy8QLNXjKPpiCBNbKclSFGv1tcK0mtCevXUMrDapixDPlQbJ
WjnbeThTnXqZc2cQh2URX3JL6ZqDGsdzETixon5d4tF8mV3RNn5TzXPxAGQ2uyFQ/uSMnRYVhq2W
oe2tm6/UWM5P/PrscZSlNIN8qfI4yAfVuMW2vcAdJGTdOKc2JU2X83a+2XSlyODlOR4OBvpdbgyG
4ium9DK/x4kHM5dFHvJ6WSIQg9jXutzx+V14FuFl9ey28XgvPGVNwqobWkwfbrHRfhW4d1sTsgW4
mIPYdau+nP+8bJZ6L1rXizqnW/w2UQPYjbVvVFZYp44WEAe/om/E5MiYFNh4uW81AzMw4S+82guM
5bh7aJzqAzvz8MfHFFEzaBL2GrxI1nZL/nZMnaZdtJi3KHL69HFaDWfBsUl9qURtftEUju/14d48
f8SqFLk0lfhYpzi0e/6Svs3StF3F0UyqKWBHudjtZeOTa1IInLME7kTcHUSu/TU3a38j6NiW+ewz
bIMzRXAW4PE3rLl1Lo1hTDtxRNOf+qWRvLen6rOW56XfDM1PyxzfX5/txQGBfQmVLVBydXf3CwUr
uqkZecjGJj4WedV/sBekK95CndVsLdsf3P6PCy6Q+gEHeeVZZCL03T1YKWjjcBMSR3WwiWCmwguq
eLm1p988J9soxDC8JQYEtH0hEes2dAMJU2sTrbnD4o+yrVKkh7RbhsMU5/mN13pbqt23o7gDSAEA
yrO9F71W2CFqRdpueZzzDovK5khRyX2K7WrxAX6dYNQba4MtbqE2b8KEbaK/Dby7WtoxkfPgkPBk
pVD9ck3GKB67W8zfC8vJy0zYDXcf8teeYzfbZjfqYoGwUFfDUVlzJ+rXWRxsdZmfcuum8u9tWIJY
mUhwqzhvvIQ9DUxJEkXPMEI7xo2un+yhMF6bZDbum4Sd2rmiueuXoTguoxU/aIlTh7EwUj/zMuXj
9TNyYX0t4E/iXhQb4Nq7MKyZs1ZJqyQlIF5+VJaRvBOWpt5dH0S/sH3ORtkdCkyLLKm4KIbjFDNO
1DBZoCvdv1RpUOfwfPjgMHdeO0dZAiBBiS9c8NcMHBBN34uzIO1deQBLMzGTUw+xvUmolvSwCBAH
wYs+q+rL1GXv+xLQBMKjL1pH4qlnPlBUsQ9d33c3DsSlHQP1YMMSYXpwBs8v7nZoxtjR8/TYdYrp
T6Qwh9xWP0FLG0PdtG6J8t6mx2wY/FVsVGuUN7Q9Hj47pZKtvZMc07H9xxGFHmaLabzPkZyHZWy9
WsaSH+CMpY9cwD2Vo7iIFhud1WhYf8zx3X6LC3UdJgRXnLUDeSvD7WuU/snRa4zsoBhTgktQtwax
PlH+KGwzcov1VoHgwhbaEAA8BzbyGuqa8wUnY0xKDB7To+j6lyrJ9I9eMpQfNDgCH7XUbINqoDjs
F40T39q9F94RhqbkwjkFIdrb9FL8WbVFiPQ4OfVDoq2pn8dxC4unAMd2KCH2uUCcPn+dnYF7Kn4p
HOfOsNsf1DP+aS2Crqkdqb2PP+00B84tCPeU8TuoxynBejjs5PCEhCLD8Kn97lh1dxhKDDKTRgmu
n8MLh90moeNlYiob/nm+hsNQ29bisYZzpfeR5/RO5GkYNfyHUUge+U6QKpx9mZ4ipxCoC5LjRBoZ
sqN19IWLe+MAXvwocN6AhBBQcCx2c8nzHAAR9yPIMFgEl6kapnmh3ZU2U+vXLZOggnZjK1xcQHQb
m8sE/Jc9sparovRGx0iOnen9aHtNO1iJKG/EhG+rBATSnHKdyJ9SH3WK86nVMjYzF8oBTg9Z82y2
tuZ32qriep0OUZVgxko1JT9A/1M+KU3bB60s1APcTfEBctoUTONsUvE2redx7c0QNFAjhpXO+pA1
VeHPOS6VvlLcNKm7uDrwSzAsoIpN+fX8d2eZEHGvqHySwZt8W8fiyB7Tn/9hd1F33erk2827e0qw
f46l2zKIanf90chK62DLqgn/fBSiZBQXlGwoxe1GMZw+n8C0+NArBhXV4shg2KKC66O8TZz40htV
ZjP7QTK5j1DLIffM2Om5SRM1+9xOq3lXqKBL9orLL7arWgg/DOnEBKsZf9YXfFwcGAJQKXOY8Kdp
Xka/ziVslqpqTzd+3PaE7WI+ivYqo2zaGvDV88+pJwD1CerziLdk+A6bzPAThF+BWq7tvWrhyNqV
vC2IDEx8mQukhoMdZVnT3VqlbaA3PwT5y2bRBJC5r0KvK4b1Q94r0VLW3nMi5sc2UdwT5sJmZGVG
+VzhaIuRb/wTUKr8GZsJAcA6zi+NVWsv11flwh7Hzo/IHsRkM5zc4oLfErbE6ybZubUSNcXShhhs
aX4aI63501E2/iTRNhSqzfRx99h1tYbCYsX5yS702cdAVd6lRX7LUOPtFcoorOd2g3Ke9spCU13s
vNLWOILwp4eyWZaTwJkv0HUxn3T4JYFa6fONk0WJ783nZFigC95UcAX8bM6XsBOLIa25j6NiwExK
aI+NUTY/wIJcXIXNfDo28JI9v/FqaQRD2RWvVuzMoy9LC//lSV15hBtHfYVot7zAE1N4hNVnO/O8
D8lo5t/mGibcwYNkCwq06uXHNDX0H61hL2vQOMNiB+so1G9DoZVz2JruolBF6kvzbpazgsM8gG0R
xHGuD2FhrNnHTC44EZsArIsvyjTGH92AMxh2WubNobDqJA7j0VK8wFV0mcF9KZKncenFoyyH+K95
UtKt4NN8F8mwFH6eIWT0dbiyL+PQmJ+0aS5/Vr1e/Z01SSuwt1StCVjSGtnOniAvUMTfudl77wQG
R3bYVSpDxZS5Z3a5PROBOVMDZcVG8L6Oefojc1tOQJ134rsyeVrpYz8gviR6PXy21wXlO+KPz1q9
NqsvDfbAMUv16jjq/QBDCF7rj9nUhmdbVB7ES8uWpwV+9UtJ4wsL1pGuPGrSFPHBgLxzSgcDjFpX
1OJbqrjTl6oxu5fC1Fa/jdXuxQU9ClKrfMyHUsFQzR3UCsJQQ8GlmuKP9thaD9wuzseC2uhLm2Xx
oaRc1IWy8paHGtjbO/UKNvx+jh2aEkq3a9S/GyfvXd+cPCECciJLYqeZkyrg16Z0fqnE3hSh806+
adU6YmCuacO7bEzz5SitRjGD/yn6DHOdVodHIhycrp3G9F6U3K7ejWplfSpwKSl93Dfj93Pr9a8J
/KvEr9wc9rRWKi4FIjVPPrmFrbxMoiw/Xz/92+k+v++oUSEeBw7DHOaNfCCRnjPHeRZHSYc1aJxi
0DDUmn50OvvTn48Ec2dToOKBQWZ/fhSJLFpdJiXVccxGHpou/dkPeftO9TpxI/S8NCcIYjr9mKBv
EE2fj1RnSZKOc8pIpAZRm5TyYW1iK+gG5ev1Ob1lwkOvxZkMxxvuTtDZ3VC527iuwgaNmqTDpslY
y4+KA9LP3WCceEiWMDU7kH4IxmGajOgk8/LW1fprPrtvyI/gB9BiaoN6dpfc1BhQ6abYi8rEXqNi
tkvfmr05qk2MsZfhAaG09O3YnQIr7r5XmUtxY/DqB6n0/ybet0yZHvo+/ku49oOdGvbPoVmTU5cZ
zY1X/sJ3oZCEtpBMVuVK3i3W3Dp0gqjZa73SjUeZuv/Q+GM4oI+O/evf5cJrY4LrQtNCGQL0tsuY
XdoT5DQSiKPYsutwLC3gvsFxQgrZKk4QhTH7JkyQP993gD+bW9XmpwVf7XzfJbGYMoahNO0k6tex
1xYa1WTTib9r/4elROVE/YiDi+Xz7jA5Wm96acVQXp6q/iDy1Icw1OIn2a83ZnVxjxOVsr9dNDaI
T8+n5Vn5MOHl4UWjnKDJ1HHpHDzF6g7dqnuHAprF3cTje1AsbQxbt6nuWiKJG0/5tnb7PY6FDjke
3rc6pbPzH2EnIlmoVHjRmmlFRNEQgDyd3UisANZ44sqP7Ux2UljVra96cWRgFeyeuFDYu+cjW2qZ
ZkpB2bxH3H2oKhoomGnr3isj1qq5mJJPNI6Q9AWy9Bsf+W38B5HO2XozgeOB5+1GdhPsVGSCBneA
5X5YmkYD3/BuuU1dOpU4+xOa0VJwk7afz29qgWlENXtRpcQi7DI7/o7a6xF2nXMDEL84H7IQGDMU
Vd4YVJsEQW2R615kCrt9B2pYs3PFLbLRtipvdgrce4tHRqPUuP2K36JmC8aER8DBKBVWTqM0usjQ
5uJJbTL5VFF5vXHXbLfWfjx98y2HmUNt7o0KXWbpDMvIi5QqbZ+9BdObpOmbQ12PJbfMqIdjb5S+
0RnpcyWnWzj/pauO25Q8gb2iW3uWgbDWIlVLho8NZ7pz0tl7r2eO4g86tizgXYjBVDF/uX6/XjoT
vw26t5iaGi2G6cagHajkj86OswfDKUWEDq98WTxTommWZqg49sfrA1+cLZVQeJlIg8jKzz9ub8+r
hJfExwU/wzRE1qFrFMVJ7VsZLH1af8CC68f1MS9UlCnB6FB1NyyJTGJ3DgfbymKsnDghWvq9Lshf
SM/Tf0bTVoLBWMYIo5RV+mNl6pGTJdW9xLPXT5SujOLe4o5eto4+pbIAnjhfLEW27zurt9/pKwYF
JVskQqxrn1rTg/8DPhwB3+t3BcU1aJl4q2IHV/FPjeGHrMrk9frsLm7fzVsAfiX0nD0j3czmOq0n
VtSqlJwuUPCtHobOI5CnU8IPUeCjmmtJ+kBfGsPXvFjeslu5cP9Q3eVxMSm4Uoba3T+pXB2yLZ6X
nh50T6oqiicxu8OTdEyaJRlV/aRaY/no9o7nd1jX+23aTu8V8riw0nI1tHOnuKNHjXuasBbzl2GM
D0WJijpfWisYVRiV/epOD7qyqv6E5VaMeecJly18JNfSfhKFlhzwt1A/We44+13T0eYFk7+DmnRp
qOqwUWZ+S2CvuvaAxSCuaZoBtDyLFYT7MBiAKCYOXwCoZtq3R7dcqycT1/+vmpbkd9e/1oUrFOdD
7H6hPVD42gfR6lC0iirZUxbdup4ad/QOqkiNG1faheO9Wb2DUOF4DZ652/BpaYlYd1sCSkuhAV45
Y3baaFmYyI5S0ZIXoV72ZUQLKTe6Pr9LsezGW8H3k9ubxGR3e9dCG6eRZpLkVFl516RGOz4gVNeH
wLVnNcaFs1m+FVam3TUJB0JPc3zZitk5oASblwDeh/lXJeTwoW/oghBg+aQ+umpaV7hMdx0WzEIT
d+nqTH+saNpUFpuSiXuJKHwPVORL7iqFsq1ZpRknJSl6eh3NDfTstg5X3RxC2zKwmyOhiBRvuEUi
vHSKDBi9vHdblW/PRU3gesyLrAnSSii2i06vqJ6mYSdLi29cwZe2IIQtSkVcQJB5jfMrWHSugw0e
E9XEmNByDQ+9RE3UG1vwrWSN9SR43wIgC+rwL5Dqt2d8FiV90FZJhCenSURaJ1zpw7fFgG8mVCsC
MWbjh07K5KXzrPV+igtRnIRSCOAPuJ3kQPXW+KqfPfHh+ib9xXzdPflbwQxuFRUlCkvbK/Xbb6s9
R8lip/CiqaeLkOJ9mzOYhupQHqrEOjV1/jDWxTsvpkaSmK/lpP6dj+tTs5T3iWxehnY6TI0ILLX6
MFIYb3ojyJ35pGj1QcfKWPGQ1SdsmMEYQzQ80texlrmxvhceUop+G20AsSb1uF0CIQp7yJE4uBEJ
EkzXAX5K2Qxm0JnWo+b1fehsxNAb67Ztjf26ga/DVyBXJpDf3SvFoubDutputDhD9zEWmfXsQZuo
KHrPOdNte88ne5d/I1zXv8K4nqTfDd53RVKS8ttRLM8LYvMfMdxGGZrz/JRRnS/91BLZX7qiYXC5
4JT6pcitPqVjGh6qwRLH+tc8zrRbat4LDycrCHSCqyJUp31eMA942KfV4ka9970oyvUB69vyrmpg
lLkjTs1SzW0/bWV+MBKUD9eX8gJGu3kz0XAa0IBrdi8wLWItdhr0JFEGHkwTxfZBi7ujksmPauIC
fWtVpAzFh8rTXlNb+WkildFFd8uK9+IucoCOyI9+Pd/nB0HDDjnJIaNFa+K906Z0q9/TexFqWXLw
4pYOhvG/1yd+6faBbU86tEWB0JnOR5yGAq8n8uKo0SY8iErXCeqUK+j6KL+YM/udyg1HDwbkxSiZ
9ydcqDi5DDxvfbJ8Q7Tr0gZPIkyBIB7qeUmTzxwwvAFQuZvzSp5gHA8B3f2sT248I14Vjnm0taQ9
rusG3IpqOgFlp48Ljo0PmBEaUdFQvp3ttHiHq/ufA5abqfrGCdpIJvQWOl+lbjWUqmsMN2pHPX8A
4tMjVZ86P010efTWTHlKFGW+caVc/DTEyDoSD3LJfZcO6uErziyrG1GZyahgtjZky9a6ESFcOnYU
KlFLAVeS5ennU7NX2Ugjntyo0Nw6QrVkUxadvKhd6+yTZYnuUazCeyir0f0gi7a4MfylaghFkM1g
BmeCTTx8Pn4sx9Yr6E0c5UuG1QrhGLFkLu5qmBFBH6feB6cQE1HAtPqqk1M9twf9xo+4uNIb7Qsm
H6/jHvxUGgH1aqT6QRdZ+pTGjnnqsdwIrx+C66N46u6oWfAVZyrnbqQYsnscugrHAE/p/8tc4Mtp
EMyg7bu79aRqs1Bg6diq2kCrgUFzwsTFxOU/zAUuC35HhLRQ2c6/WmHlRmkOI3tTpAkXsv2hwg3x
xqV8aWtCwkMviM5p80A/H0R3qx7LYG7DOa3058JdxbvVIxBTFjc7GYWDZ8jcYfzQ1vrBg212Y46X
8lSwLn4B/ZnQlu5V/rFj5LWJ2zJHI3Xwmcrkis47H2hu0Lrut972sq+mkc+1T1MldfWFaik5cG7S
mvdknLnn07qnSeiyU8U/h5Gam+8pNW08IRo5YB2VhfOotjCPpK013Pakh9LXzsxiDPLWaZ5X+sQl
gTHwp6/k7YakOF75yvWZvBpe0X27/lEvpSnE2uDGxGAw+3eZI6yMtBnbghimRh4OxZ0mjxmvAhLN
6ZSRUx96Y7CCWXWWD9dHvvTubSJhEEXuIBQW51861/XWBlDnFVqT9L2kHUTY2vlXTcoP7uC+ps56
ixRp8z/uH6TfR9xtYLNwIbiovEN4KYfAKD8KR19PKL+CdVqVG2fyUvBN7w04YNj6omvbC/ZaOYgh
H3hli0mpvpaynmnni6/3oe3wqkiJPB7XDvfZalE+p3bv3W9to8PZcPNgcId/YNf/cYNAxOU865u6
D6YEfOLzFZeeQh9rQJAowfXtVFXmeP9/yDoufNezUXYneB1TmSTbxUo75/yIm7gZ4Qpogyp23fs8
WcSzov6HfAoPNpqDbkUt0m7jfGbs3UnxtmvWqNeJRGBdAnsrblzfsW8NvFhAfHQ2j5tfPJ/dBrLp
S6jVUBUpLunjizV4KfFK2YZzqqWHLtHczzLrl2jpYhl25mLc10Zlfgd/HJ81Ky7u01xRgnWAdnH9
h124NEkENlYo2bNKUfF8+rjFmv1Y41CTrrb0uSS7reckmdKgWkGZl4BnhqJFo2V8cVU5fro++lsT
GQ9Lp21NsEhAka/ulqUkEVkBM+KIlHGUgZcl01MaW2MTCPQbWPTR3zDM3S551drNO2UT9ae+UBTn
Ye1bi06PcIZp/E2CEiqgxgeaMRVplNWi2M4Cp8vP3cK88bMv3HyIacmNN1EoxMjd/ePMuqVk01Zx
8vTpaRmG8r6lE/Bnr0ixFxnxS3EofEVqF9s3tDcXggLgCLBipOpQRvbYaq5qFM4GTBGoHQ3/aNlM
r+pxdW+o7y+M8osCyUl3Nudb63xTeFmRjfbqOpG20KvV99zG6HzLbEr/+ud/e96Rm0K03HR63HL7
crJaONKou9GJ4s4rQlXJ09c0k3STN2fnOJP2+KUX569/POgGtsAuggqzkWLOJ8d2pKu9RusSM9a7
1l9db3lfe/TytnX5WDdr9UM6s30jOLhwpVM2RIS5FSzwFdvDPPQ0EtSfUifCPDu5p+DavS4WtQU3
0Qy8VamXtloTv5MenJN5tr132Ic0UW0DYnYu6LXpNH+eMFAm4+hTy9yorntOUDq4ceJ2hh0VXlyc
jLwdjnS4bQ/Xl/vty8ko6Fzx44PXhczufLmbwkwFvcvsiI53xUkST4Q4iYQ46s0kKfUtE9lbw+22
bmd4Xc+usiNUQHbQqY08eCMMXtUZYnrFj38epXP8SfZA1GgHz546n54oFKmsymJHs9HI49yDwRaN
Mt3YPm8vHEbZAnTuaJo97lEm2dkGLR06O7JjPQ+NuJtfRiMxoOApjEdL5EcHxkGwivmWuHBbr/PA
h0IjXGxefYrCAN7n8yuSxiuLpbEjGNBKsBQddnhm0d6J3BlvQRFvh2J60DlYUIRD+8pmU2CPQwBp
RaKe9DsUefGdOudtduPSuTCjzQCINhmg98R0u1CGmkGZILqyoiJVkodcZPpphEYU1a1T37itLwyF
qhagZmMyosLaPa7mkGI2UaXouoVSY523tgGdR7ywqddbpaCLQ23GdluvMuhZu++Udqno5OSZUWWJ
OlImLHCTSZ+OGjrCG5vxwq1NTzBbpevFRgjY07EB0mSfrqYZ0QUbnW0eY/6YJtY7dRX5F01q6pGS
3Xrjq11AJlhGToGJohoR1F4yr2okTXSnNvCxJQluJ6zt5sYN48Ix78cil/hgjubrlOg/Ms8QH3ID
GiG9YEQ0r553THNLu1/xEgntwuyjxM2LqOmk6veYGT068fT5+q13YY1+FcmIl+keh9HZ+bEhI4lJ
AlewhtJ0uey4G6LAhIl2kmWcnq4PduHOI+8EfmZtNp70tjd+q4eD0Xku9k9mRFd044HQwzoqizLi
c0gDlEUppz9m/RNmQe8h28WaE4bl+XhT0UwcYRi58QptU2qonEu3FDdmdWFH/1Ir0dB5s6XYHx4n
G7O2KQSj2Iv5anvFckiKtcfun+v8+gJuP3h3yZHIIlAHPIICvqep0pG8qIzMoSq4SO059roEUwJx
K9S+QPanvxy3OCbcgNlA2ufr1pbObGHZqkc0K1buFc+NX7s8aUCl8DHJfWEq9cFtm/mO7mPzv2Ut
l6iazflO4g/xDERjPXg2cKgl2nrFdKco8KfQcnqviNQfnHTtAkiR9nurSJfoTxcIcJhy5lbz5fA5
u4usN9q6txtXj3KLInvRxD9cVyb/ZZDNygUzUGOLCM+XR2vXcsBEWY/o5z1Ckau7b3bSVh+vT+Xt
YaFNMmke3lIUicDdz0cxyyTPMCOgtIzDng8OkwZr35MmQKPAJVrc6vx3IcU5H1A/H1CZEHlns+1g
dqH090sha2qXafnvVOfiPn1M0fppwxiQnjlYvQxkYmJOI2yhpr9KOl2hBne8166r24MjqHGSQ1bH
rsFg7/q6vD1u/Exgta18DKCyB/wMsbaQ9hwnWkTeBu1AINhM6uDDBTBufOgLkkjGwjuAIi73FU/J
+ZJ4SurB4aL9tkiwQkR6JkOtrrVAabM5iquGSjn23XdqU3chTk1LOOamEthVW924Y94efH4IzQ22
Si4J3V7aZ3pkaCg+nIiOZONpivGWNxbvVvHoQtGaYVASAAcgmHnDUUqqtehi4GtQhwS5P2KlUxKn
g9+6LdmV1eD+smDZWNCF7KGBDY1DpKbd+L6Xprp11dzwRnh0e15WnaWkPWD+UZo4Jj1X0zow1MH8
45uUQH8jGUNfILXYQ4xq42r11pApEv3khPEyLaescqrD9b26hWjn9zWjIOLFQmgz/NjvH3WQMyoa
fZO0OZAAXW0+aavz75Q6JN26huJpyst7nRjgRuhz6ZBsNudbiXfz7tl+2G8vLZayfVy0Jou4Ns5D
31nxoYsLWoVr1a2hLt1T3E6E3lBMMSfZJRb0VDCUZuF7TcNchWMGoqVpIqOrcs+jbpl/nsj8StGA
iGDQbgKc86lpOF13yjw5ka0v9Z0+iMIvxtS9ETpcnBX3+3bqtwt4N6tRWzbi/kxloXLcANSkIQ0X
1UmU0ydjbov31zfKL4nYm52yAXGUaggf9wdcUPdL4Qdy8iA1HeqqnYPYG3Q4yEsc6YmR3K3GCIRE
JQLyqpjvdXpDIvpoilM548dLoNiHmtqbd2pm4BpRjkXYK+IflIj6E0ieBuXXqk9arzX3fT7+tRbI
KzwNbsIYl8NzVTnGAdFD4uMFkoQaVuxhr8FDSbK4gum/psfrE760vlTRCM42qY+6x6WNdjCaZaWi
oshCj4oijyPKDoyHJgD40dBucUq3D7ZfYK61rbcmOABW/+fbJgcAVOPUtaOlryt89gcvcFjHMKWn
RpAkRuN3yGNOeO7ap4n4K0J5QmOASabPwpzcUzuMhq8k6xJZKw11isGcgkVFSTJ2pebjpT8+DTT9
eUx4H8FN3O7ei9355NrjFA7rRvackuXOWT0ZQAFTa9/DTfjUyJj+yHT2MDpca+3a9RnFteuZtluZ
ddQXI3uoZ7wF/qfRZJ8IKZ0oLxFQNsra3RcZ794KyPjl+se5dG39vla7zd9obcoeAyDqPL31ZV8a
n63e0p7bODOC1tDtI/ZyVuBBmgquj3zh8ofPhZGcR8pLEWHbNr/dW3NSe2bnCK7l0Wofhxlvda3o
utP1US7cjrDjeNLxM93uyF1oBUt2zm3UzdFY9LR9LKzmJIz6cbbm7sY18ja9oh3XbyPtdl1ZGlid
FwnXSJJYgaFXEy0xIGkrK5QjR6FlrlQV+V8WEe0EMfAWpO47myjoOfr/5ew8uuNG0jX9V/rUenAv
vJlzuxdIQ0+JpEyXNjiUSgUPRAAB++vnCZI9rUxymFO9UrGSTJhwn3mN7AtOHa+Zz5pIGPQMilN4
5rdeItV42mO6AeQdFwozmaXCFRQKy25AocY0GvTSJvtSGd4pzNybl2K30AAasLzHRseZ0eWpZ1UB
wWYptzKyH2D7Fud9C0rh/ZnxRvuDlOeXS+kJ+ssEbOtqALPr+3vD94KbKMjEvk/a8tqFg7Wfo0R8
M9rqzyKcVeyPMrvMQ2K9oemCWFZmdzU0/o8KwP+JmOj/cVv0P9CJe4O6o8YmylVdsy6cxjTPAgvT
zO0Stra9y1vTj0O4X8hS5NPyQdSr28WJJ/urcHJFv5U4YJz7Swv0DJ0j+c9SmfOp4ukbKSPVd93k
BB6Ml9SxaBACVwz+yBC5mY/0RLYX7Xy1RsE3K1o/ZAaoKtMigXFhvmXFR2eYz0c7u5k04nko84+L
MC58q/nSemqzOOZtHxibaUWA9v3hfb29EO1RuOPggQ2DONjh6Pa0H5XdeuseQf3kApW3YWOiA3hi
Er0+2/RVyNC1zzBJom5l/TKHwsT0BsTI1r3XZ5JsoLpJyuTWGnt/E5hQPf/qM3EaUbIGhASv5VUF
RwxJ7kFUsveD7cg9ZMIKEmtvfH7/Kk9h99H5qdMPGO5ERFQejh6KIlGw9hXl8dAwEpABw7RcRV46
7lSuUP7Cj2pf2704T3E+icXaTufY28ktcXG1W2Zn2hlYBuzKeinOjapyb6OhWK/9yQf7zvG6K/zV
+vq/oGNYoOA97NoFptdmE0w7cC1uDGPqFLLxDWgcU5ZqP/pgGkF8LMO3rHJJg9L191pj78ci+jZG
X2fcFqaLtnsyq43hjPaZYdfrxyxqAF1GOcWPuvbOaeyf5N2/npvcDkUqzWyH6XXsw4H/7rwUReTv
M41t6bsaFSM7dc+8xK3joloR/A2NfFNrfUKz8n92YzNCPK/KmMh+jKfOHPYdNNYT00uP66txp5gC
lJy8kwPzcDJHBqieimBh32fJNSFR8+CXqXxQI2LGwjR/+nkgzmsov3tnRaHy/Vn31jshS6O9h04X
TJ2jg9qexrLwi8TfkyouWyufV8yK8lP+0K/XK3w1lECpFxGNosp4+IiDlUw9xW8abS3uvF4yTNfN
Un124WnsChX9dSQTl8MlDjxmQH52DFHQVI0h7wJ/P2RJsEtmJ99KGyXt91/dG408LoNnhUstmszz
WPSr7jPHMiYaTE1ZDjEyStWGkvvX1ZbRduG/v00Lkhtd5106aYvudHgTGt42G+Yv79/I67eLxTwy
k0ghwVBD2PXw7XZ2b/lpNdn7eal+J1m1N54BATqNqhBIWqNOzNfXsQKXgzPGeFL2R2Ht8HLSG116
qY29d1fDGGIKSEM8VnV2Zfut+5cbQYfXOp6enKmoPpYUAhNzvvb98Y/ARk7zP3h/GA6hVs3qw7zt
8IGqNim9zgeZuSxwVMMhMnfOItpd0Cly0mA5VRl56wV6kK/1SwS47+qQ9pfTC0veRQOGrf0cCBW3
6NV9IIxsdr1nzbv3H+2tS1HAMymQUNOm+3B4qcasUZRA2wt4QmPuhhwImalCrNeCpDxxqbdmoa8f
i00EquRx+xNdXwjkuEKQarruB6cV4hKZX7FLgQFeJaKRJ6ahntWH2yZnMUURGCqanHmM8WO7Xsos
b3m01aQkOFHW2+VYv5LxqXqXmLLeGrASt3MVnVoBrzdNLm3TI4CJS/xx7EMJ4Dy3+7Sy9hjdd2ct
DiZxg8HNiRf69lVYz8gcob53XPZZlbFIK8wt3Hwtd6MGKkxoH9QnXuNbM4QeKKkgskOQ245miBg6
gXwpw6ZdAWB5LSvWnQITGVd2Jx7orRkCKIeTl8QJxMrRYkZK24JZJq29WfRVXKSzv+2ywd6mZP6x
gkR8IjV8I/4AHmxhq4aMl4fklH72XxaaRumtk4HMdWWp/KMRIhjkmqkXl3gy7GomUBY76Ilv/Six
z01prheuLeWma4J+k0yiOfGqXz8/t0Pug4yMFnU7bp0kPWkqTW1zTyXJ3y1tOIDiKzF1gza6g271
+FfX/uHljo6FxmytkS0I38M+hAJlynw/cV7uYRl/ev9Kr2cq8T4LXyvGEJcdb2g9Sgp13XAlrfdx
Fslk2lVWI09Yz7yeqbQSOXmot5JBwkw7HM2wb5DYbaMVsbm+uSAkT/cN8M8LSm+nWsxPCPnDzQUk
GvYF6McCC6IFdXitqJF1SrZp7oehT5zNZM7Jt7WxPWcrJ5R/4tHok3I7VclKVIar+lUB0FTs067N
hkt+ZUp3bW9nxpmRlGJEmNDo7pY5dH4f3cKRm7UN1m2GZ9+tzKahwUBlBQusfNWhUtvkYX9vG8MP
rxjFZ7zCCitOxLB+Ldakm2LVDVAis9Gw6VAUU1V9yMKJPKC2Cmmh/2vwWsoO6OsctJ/NarLguzmT
+83rB/bgWfdbtn91+H3yeaAo1A00c/1oC8HViZ6pP5r7ua/VWTfnJjlqlv3+/lXekM1iz9X1TDoW
FEWO1Q8yglOoaGjIJ7NB3zefstumWTsE9FBFKK49sRgFPIfGK7ZYmUkopuGoPkbF4FBzTZzlOje8
6aocEvVBrWUCMxCc1anEVO9hhxOHeUPJSzdWsHs6Bl+skJ6qTliKivKMtrwvsg39jxDN4Slc5+3c
usYae4YdmmdyrLDrTJIISG9f+d5EHWRy1TYCF3pFSSR59Pour7U5lqouhJ849XkQKWKEQkkHbEPe
77w+QCbUkSJ/pFE8Rmdp7nGBDBHZNe4dnCOhZIUQM1uwV01MMtNYMRAEITdu3ybnjqIKCPPZtm+h
+azXedAH96Y740BmStX02yTAMSxGrSxrNqhNDjvLRqxkYyVeNMdFa46wu0a7v14KUW0K+Kowheuy
eey9BnPX3jSs33MClJu8xXHlfKkXqjcozNu7EO33FsgISPVNUqBHHPdZ587bKvSG8dqJ6p6My8nQ
S8loR1IJpiz//oR6HUCAxCEAA7UAosk9hjZOZpnbc1Mue2f2myvNad06U1bfdsoA0FJHGWTwvvng
l/Mp4dnX+yVXBp9BBZHE4RXTArdU2sARrfnOM8dzG1jq1gmb8cRcfOMqZI0O7iqcfAGqFYd7GEGm
a0wFRRI1FBNSsivWB+7s/2WAKKYVeu1r9iWB39GubHkyQJhPrfu0VfmVD0Zsk/t1+B88y69XOQod
SglV3Om6FXKRHLa1XNp95MDnen9GvD5heBZAH8QKvDAUJA7f2BSWk4HyFW+sbGTcdrkTu2WzblJ2
uBPJ45Pl4NFGAZAOrCB7pkPedpR0yKpzRrnY4DrcgeJCNtfV146sqrusDHtlRzAqed3PZtpcGWUH
azpzJnxmUnNpjbhwjNDfqdVVj0Jk43UUully5iaL/BxR9842nTDgvglIgWh5yciIo24dMO1rG/tW
JXBmt6O0ilNV5DdWFLNNVxK08QJ4t8P3V5YYRC1UR/dLWIaXy6RS2ji9JtaadrNpwt7YGfVCRT7L
gr98BmlUHRcGY0UQc0zEqpqpwBGnYOhS19xWBfR4Ssjmf3IVjRjUYLeQVPHwAVNwvUG+hMueRIg6
q1dPW8NJTqUXr+NETQwgX/sXMuXwKp3Z1ZAYXSgAi5N9Wb1RnYFTrM5aBIA2dYTw3PvT/g2OJRU+
GjW6igFe8DgwnVa/6gZ6sfsa5PNVpeyx3Vj5+jV1EoS3WdzxLIiGo8XyvsCWij7iIi/OArCSsROO
zX3XrP2F2aYjVmB4Nxijifxb3oJpmmx57naSCFwUf7jKzD5DH2pObEGv35fefdhNqYAAWzjuJPu9
CAZTuvO+c61pP3VNeZ0tuf+QeLONse/gnwis3wCt6M4WnEOEKVF+cI/2CYKbMUHZZUbzKQLBXeTp
ZZ71yeVsm5/92Sn2iJRAIEHz8Jyco95YrTvc5ML5/P64vXUfNGx00K079VQ1DyeKXJLCN2c1AVht
xD+BbVWQg+j+fWxF2v1pGBRlAAlMdbNz5LTcNVbQBfjBBY+NO9WnpCpeb57kdlrrjTBQcyGPQua5
yj2mxpOaNz1FpwuGaw+huW29VPZfPg2AC1HS4NTWiHLv6MwJigzTqIpLjeOUfhsXY9j2wHdO5Btv
vV6q19SDiA00t/zo9eKDFfmjX017CtyfENVJNtVIt3ZZEYyZq+tVeZdzMLkbwx4vPFV8p9xwCgj3
RgpLqkhSRVpFbA0o+nCI7cULxmrJmNYlGkoeMwmPRTv9ULmOjKnttTQBImc/N0O9UdPSXyYFXg5t
nqpNnY/uiZ1CT+zDQ4u7oWJFd4fuC2n14d2UgtLHaHjjvs595170Yt1OQ5ueYBO+MZPQeEdNTfc8
qdYfHSOWDKFH9FzFkLZEiD/tH9TqD0VsGk5/4oledV00ZVEX27QkKanrcS1nmqCEE09L6Gy1xGs0
qvOvlXCWP307z4iY025tYx8J5YGQVQyo5eM/Y9f14O7gPhfkcrItXYB76VrHQ+pMX7pmtIxL3ASL
DqWEqiGChcly14Zmex+g8PNHNbbYOzUY4hajyZTB+cs/lSwdH8X6sajBsT3pdgfg3MORMkVjuOiG
YWID2GxH1hn+PiPN/GNoHGz4VBbeVYlXfQuNMr1w2ym4cYUhYmScaR7lyFwLd+yuujqwl7gozYiH
soJz4LcgpDM45e9vZMfTSt8sZVAqNMCNNGDg8GY7IQw/mQe5n9wm2GTrGhC1TOuJ6O74mOAqzCVE
TChaIx913LRPgk4LBBRyD2gMluhAjlNloo2TfPnWACR5/5legT315ajvQiwDg69RcIcPRTAWqkyj
mpAv/uGlvtqvktDEsgxx6XRzdR6uXg+mUjp37py556aJqWlUF8Z578nvRTdxmtppv4taeB79XAdX
9WxeRIOxnNrn3nj9Nl1ljelFx5v+/+GdVgDsspFodN9mfnYbLDK/dqosurOV311YRktzSDlJhxFF
195Dx1zui6DVRf8FiErhFsLerH3r3K2Re0oV/a1bYwOmXkZ2QRnmaMNpFuzQPVHL/YxLOyw+J9uX
bXrK1uGNxUL4w1XgFVBfOi5gBNLEESYR+FAvXXWLOnt/g83UuBnyxrsRSePfIENb7jJ0dU/koK/w
oMwSnARwUQJvDhj8mHmV1Dbie1id7Cuv/lL7bRSnjokOS1eaw8OMQ9ht0sN/dfvkd1H6iDOX83Ri
/I+3W3QkqdmbIYV0KEVUWA6HHw9nz54CZ9yPKy7keef3l7KjdIWSxil18TcvpRtVWrFIA68PL4UE
qpGrEJm1tQx/9uXiXCxt/tWvxSkexKv3qh/KJxkguSIjQBr28EpIhbe1COpxLxN8SM0MV56gLJ0H
f+nSnSxRaplRzdsmU9V9Ks1m3bnOX+YScA8kxToyiwjlneOjxU9529YYDfs1BHTh5LXisFCnNs83
3qlOvUOX6quJT/LROy28NYI3mQwwXZsSHGWfbMiQhqua5H/7/p721qXgZHm8V+rpdFgPX2rWg8YL
Wn8AelKxk7lpddm2i7ycp1NaeMcrUr86IKGsC4rlmCEczcnVc+YpS+m3Z4HZbFKDNssQeuV5h2t2
7KxOf495r9oDEjplkvnKN0xfGj0pKs0cFbTNjh4Svzanm0Q37NN8GfAMc6zYEwOc+ijtYitbGwq1
WSMf+kwn3+Z65g8AzwarE1dLFonzxCa5Zbl5e8epS+wN3fWTTJriRNLz1liQ5lJ4RSCf5p7+/Nfe
Bi2MJANPujcnEAk+CvVnXSrGHVhh78SwH2/CICY0xppYgi2CNv5R1ksovwx4y8t9pIS5WVwComFK
Th2YT8ofvwaXXMajLkbdVMPd4OUePhEFT/ARaaur6HOZ7douEt8SgOUrvO3CuqS/LptNWXpR+nuz
2J0VU8sucjQ1nSlBBtd3tpkslxqVPKfcmVVmn01TaqnYkwNMEjFCYY/rthohqlFjn4GH4roSG3XQ
GHBv+/yr8hKyogKh/49tQaGZ8rrywFoVXd5vKr8J/+A7zJ+eO6jPwnXSdFuM/djQVoUDFzOb2Gh6
w/wyeEoRVhReBtjUnY1iZ9edV++jxEO8I2ys4c4bLax1bXMerdiw8vZKGmu375va20hG4boeegwD
6RWkxSaHVifimuXwQbkjph7vL+rjsIjXjmCqPvs1s/P19h8V7uQWnthX7ThvTacUZ1MU48MkrDw4
cS29Fx0NMeEX5XuSdYBU/tEQoxGyAM2uxR6Ia7etIzvZIuNbAq2hRS0CI9mi+XnqdH/S/zq8KhQ1
H+9VXSEi7jsKIgYBxRNod84T9gbw0Nytym3td9p4fFyjD56sooGm4FSA9U34GIXDzvzhBRle0usC
LyX3l+QbIjzrtFv8fLmVQ9l6Z26r+mzv2ijcJl3ilzSmqlXsZjTzlws/6vL7BaLuGBsZLO5dLlVi
xw3eDrskytBKc8jP541RODM+QiR/9pY2LRz7oFYprGgixmEfTGleIhRhmajPM//LGHOwed1NYe4s
F105Lz9Mtx7pLfnthattLRcTKywu4w6fDBY1TvLrGLWcCx4sk/dnzlP/9ODFRgRmrBIE+DhiiSAP
V2wjlVkboi+pdzCchVHQN62HYf2Yr6KsIZW0ZWybndOwhspMnSslHEXFTBnf1gpZqgtzHdufzrDm
4NsolcZDXaPTtGRFEMSJHIf7AejwB9Ma5S7q117tXCvxrTMUr3hP9eiUE2xubd8wNUtbf3z/8V7l
3mxDTBZtBeMAAGQADh8vywZHlUOX7xV+2JCTRndYt65jyI/JEhkBXpF5JDalkXFOVLDmuu04i6ja
iBny2K4NXYtKddI+h4z//WP+3+lPdpZqSdum/8f/8POPViwAbzN19OM/bvIfXdu3f6r/0X/2f3/t
8I/+8WH82amh+/m3m0fR/20/NH88qrxtjv/m4Cu40sudbB/V48EPuwag4XI3/OyW+5/kpOrpctyz
/s3/3w//9vPpWz4t4ufff/vRDggx8W0pt/Xby0cXf/z9N92P/e9fv/7ls9vHmj/bPDaPf1Cze/6q
f/3+z8de/f03w7P/CypQqJNfvFoI5gktpp9PHzFFf/tbg3Zt9vffQue/CApDpG61XDPEIQYXTqz+
yLX+C3iCBrIw6nzg/favOzkYnH8P1t8ornzEjUb1/LEOF/69RmBAsc3pKj9exAQzOCwfTqJQrKbR
sowfmLTrunzvs6zJ3O3YN6NUn2u6XT7WInKeSgO1zMESzccizSKpKGKnop/2cHi9pYkpyhYFy2ut
+8m9cDFiC8wz5a9O8VipssV6cs0nJdoP0eh2qX3umMKK+oupy72ivnHSpAybTbgGRmXfgZwN8wcT
gw8ug0z3ItaHpBncnn1s4GS9LSaSFdiIXgCJ+zYFmlHiufF8W/3SR7LYu4XV4UlVGUaktZYW2Jrl
ZpaDxNzWavrCxNO0ARCkrYAt6qHBrljD1UKDK28w4T1Br3+S6vjlNRP+4p5h4RHnEaUQ9h+t1Zp1
JBo3TL8ChWs4v8Tajz7OMhRNA6KGRqZpoxvFifxuzN46u5s8s9EWRk4XrOCXMfen1gZWDdpcbVVt
JU29HZSdAEpNGZxiuRgNlaLS0TkrfOc4VEOoiSZh4vCy/brsGQH6fTKoYlHVkyOgvAStOcdVOkiZ
7opsqrgvbF6ore2IaO0sOuvTwsG0N5J1Yo+X9ZxgdLWjV2QGd85Up0gqlos1Bn90bWm1n9n89N01
hqm/0O9ak0vPmFnUFVZMquLXPa9OlX1u9GUSPBhOGfT9NqB5ZlpXq7M2Q3BWJrAXvD3kW/Lqm7QR
hfijA2I1TPtVTe0cbAt3SIJgI5Nw5PulzI1xvA7nCvPFixJ7Cn5yi7bgatJzGx5bCsvkFjopZ9c4
q+bcMgBlD8hfBpt8GNAEpAJmU9T4ZdG/LLVfl5Y+tg+HHGTPUyyBZonrHG/PXUlwVqG982WlnJLi
vee5yTpdmsU0+t5WZq2vsp2druUy4TmhjW8eDAy+EK2yUAj0yxMFn8OUBRkXMPmId1O/IjcCMn00
A3MvU3Y0z8nnHsUEpsZcmOmcbS1/gne/E/6sX9VIg1lkd4ZdCX+8nvOhSU95rhwlMPpG2P3ohehS
hsap6Rv9JTNYwykvBrSzPwctUUp9O3bsNcVZh+6M795FDEjix+nAfKzW2C6pX3Z4EI4WU4veljst
kPnhXi37cVqiKdvWg/CU9QEW/uIYH+q5GsPvraPQG72Z28Qpb1BdtPy79wf3MCrlITAlAdTHckYV
CGTmURbmofooFZCOzxQhisyDCoKSZr1zh6mNFuxdeumMlxHami3AmfcvTXnueGZx7EOaA2NCUGNS
/z98g3VnodexOulnv/aHJfk0EPdTSlW9LxnDxKn0xQNkj5ngbtvVhb0xMVKJ5E1DTa9xboWN73EV
Z3mqV+pIsI8W64DBl54X4Pc7RQ/UCoroQztQAfLIIRu9nUxj1vKdfidhBsdIZwTswu1IBPd7UpfF
LO7hBBesYjfrKsyKIm8wcOJwOAFYZL0AyC33C/wLvXD7vuI2l3kJ+ObIEQP7zjJ2A3dUYzbLHxh5
rvekxJh9Bt9EnJjf7Ma5RPorD8KMbpGQg17blOYWPgufv2WUvv5qHMpynmt2e72xzCKr+Z9h06T6
8eZGP3OBdpf8Pre95OJuS8U0+5HkT9SG3pnB2MWt35jyO5towxtu+pWdereafWYLBD3Qhd1aIjcz
DsCO2qiDijTcNpFfLOkE3vWuEDlttrNGBOmY3KGw2PjGI6Q5/dqrIKVD9gkzkmoWv4+WqvifzgJm
zPtqlqEqrOuqsNuyPC8Su8UvHKIfq4ENdh0VvzqJSt817uWC50KPbDQe3FHpXQ09bH2f0sgn4wGS
uj5HWy9IMxxuSU1ra79Uk9lbcT74lRfBsU6G3txxnDvyO8w+g2F6+apUB13+B+95R51V2s73dW32
006mZT+mZ15ezcr+NLRSD24OXK2ovqpxCjGkKgOQT8llST1C37CiYTVc2ebSs8c0iZ3ySt9fG4fL
EqIdklVsdET7uvzDbne4MoYJjk1aT9WNLlQzN+HU+gQDpmXkEq1tYw7ZMJo6KBj796983I3j0hyM
iKrDkaBDTT348NJoTqdzMSbGdQbwnq+vgqS2/B0tGAC/sZIJrzYtc6u3N+iv6zk/AEzRP7W1DmZQ
+0mTT5YoivoU6enwJNJvBeQ91BKHiiN4ouOTyMd+B5BzYl73ga6lg+8qM/YshsNQFyKgafh9atJy
vsudXq+YGiA7N+ZliBqd3P71EPz7WNQ3g/ERADnk8LSJxDHvvvP1AeUiYFYilbA6m5d3EmXVaN4v
qZJaz9xSgflYlb4+miyH5s6jxAS7TDeRpKzabdqUinVx7o0VLnq7EyN5VAWgzg4oiaYqzAAKWOFx
cc9MzGrEMN29nuowXLOvjgfQvryQCdIOD6GkkGLA3EyD+p82b4iJPY9IpYyXKp0RaLydsaOYJgTe
6zEYdNRBtBpPVeuxCCsKS+G3RdZOf7EyWgRX2G0kJ7VyDw97QjSa/5rRQmuNl4lY4uFkpDs9Wl4V
BTf/2uesLmVghdElescOYRN9CXPPLm+IO4irrRUDh1PNkScZrF+Hmiq6zk+x5aKFqcuAh3ehPHOE
ftIuN0XXVmgQjrJvw+4mGqMq+ZLO8G+zGBQ5OzO9mafN/SVezUGEsquXckrcWxV4iyjPxCrN9k8B
0Kp8hE6YUnyK/d4aTYPGJ7xdwtvFaNgQ2zRkJ5xoTvHeW8qgbIsBu1y3yYrZZZxkPU+MGie7Tkte
Tp42nUcViLihBiC/Uxoi+d50nEn673KhzyGmRMs/w8ThO8VGOHp4Q4RhS1i6RR/Dzuh+QKqwAWSV
YbhMoGINvZz8ir7CQ0pNN8827NVBN+46WFV92MScmvq0HXGF4IwyR2kIoLlphlDjWem0aO5D7O/1
aqxsMKvmLvDquRRbHIjxD7/sZJZP7m6Nlsz8cmIZvJpDVCnYN0jfKDa/pkpC1sjcSSz5jVNmBYeK
eH78yq+CKbvUtm0JUqTVVEXN1gNVy5N6XqAYgRJLNV6bfI4yShCu/GSuZcbbAxOmT2okHLzy5uWx
a9TgwAKDhjGnrUQNLzmFiDnMclkPKAeSMRBw0mNlcR+tB4cswkoGE9XE0RZe84N0K3OavVv7rvz+
cqy+rNS1QTATAj/ObPL787adjXQVzBPbzBMJ9N+rgxCShjJhItkSWSFx3FEUl/lYUa5rqL60g5uj
v5ysa0QF+SU8N2Q3c01/LFdWwtQUFv+gCqFn7suvOHneSwiWRa2MO2qLOq90YEQzqdUUdNPDiMxA
3W9B/OrJFWX20zB2lCLPvLpIe4nrMq6n7kNhzV6OiDMMGdF6D6r1bLXem3OBmuk0F97sX2PJt5gA
2T1bSLo3znOu9zyMLZY/XOD5B2RC9AC3z4GZNS46RS/CQqcXnjsarAsvpzY2XnYLFGXjo7Do1gg/
bvqxVdnXl8TMmu2FJzZSUSDUgHWGOckNMiMNm8XLSHUBurtqw06Qmua+KeBqBNfpEHb9D/Sq0VdD
7MKzSQcdax2EgeoqpHj/0ivdNIl2dW2tkONrzwIcvi+ZHrxujDhXQM8nVtLh7KO6AiYcTzhCdbjb
JA1HIy1q1yF89sqHwGcNmcDYxoWD1W6Io+zNSxUjcV2QWhtcSCqEBEOryCzvylmciQRibaVJ2ffE
bR2ec9wWpSUNhKRHw3H8qiZBVdP28iXvPnvKnnh4ip36n6qXiJzeKDF64p48IWxJLZTZz9OPiCNF
LGezTRhl/FhMZVK7iax5cPwze2pHGW4aqKicJPXcqAJAZ5cUbnBjhIXvXnRpwYZ7gkRz/BBoiYHu
16ifEHYQiKvDM2b2JmMQtkQQYOnoqmL2Mq9pXsQlZRgiv4Y2h3QubGNSkzjrFgI4+9P77/Fwn6SC
hs4YlR2PiQ158ZXh4Np1FmAQOT1QNy0D7ytkjNlbsO6xaqZ8idb6uMSZ3ynGGp0vPbpBUDvLKS7d
6/sA3OoBEwqxgqdnf/QmSmmznUkpHsRTGG97vc4dWPlkqFgSmjPDMlV2pBcEq55AWGW1LtG8/zoO
Q3AtqQREU1tJeNwNVIij2yjKQXWZ7/QMSE+TG8tfKzIc1Lkottrhn74q6r68KtDNDdITVbZXb4AL
E+qiQcBU4C0cRf8rbMyyLVfxkBm5T6GSzSIg6BqTCH/E7cvm4zRDh2wQkJJx+ZIkhEntiTdAlecg
xuUmODChHNFZZ3oypkfvYKrCFtJRJB6g28xsf87zAsuKhtE7r5RiOz8Ly7Zjub3k23W9NNN4nbVJ
MZlx2XhUTvfW88lbGrS9bvIhJzLJlKcPBFd4T8/0/MUONY+MYipSQQgCTtnsdSGOMqi4zZ9QoG6H
4gNK2ao1dhhNADO5AI/tlv6V3Yw6JybK8uV3DwIaCRnd1NbotpXtIjZzn0ahnsXC7IZiuaSYp/uT
wkioj+yLzLS5lfy5cqiiruYAMvxJh24v238xMvu+992q8/E+mmTRX9MgcvLkrLRMfWhYdp46PsLN
YDajvT32a/u5wbuPMwafZE7nlxOwNbtFx2eeLBWflU1Vc7MuUg5qulpXXdEkzUuMxPpqeF5V3jZJ
CxflJqnATnYbVaQ8IwpDivLbdQcIvMtjheUPbbckTJKREN2FCiW3btiQx8VhNfgLgIjCN8Rn3kvL
SauZqqG7JzYtuYXV8zBP2LfP6fXU1TZ5Qb6qIFs2bPg5n6220iHm1Lo6pBAjZJKOkuPqcmMQSVYq
ln7YZXyZNwOixGfuuaoKNk7Hqy9/YLGsmSgNZy4xKeUF/YIhDNETPqNQlRM/1hnEqodRubrmbRZ0
dWt4psjQpbtmIlygbCLmiH/s5xnV04BjSajZrzhPK8EJb+5Qb2cL3REQ6LPampEup340Z3bXIQvL
u8r2Tt0sKQKQTe2W1fjPGS+IJb0ahjZXw8auiiCRu3xoiUdMhdcWrcGxUdOfMgmeCk2WWnhHRtEi
FhKHRZmY5H/NqKj7GWnDHPedvAj7TfC8NFb6B+xPsKEcocw4yeoxNK7rNe1yv4zTfpHmuM2NIsz+
rCld2WOskS5Rf+dWap2Dyy6KdImhaNw1SM/rsKHBquJozNk7vhgu3T15ifdFCoGtakxdE+jmHqk5
RL7rdL3yW3JTcVsnyxwtD6yYtV3hsSUu/VEtwJDrSovtyjXfGglJbX1hPa8nM1A6DK5TUXuoSYxO
y3MSpgEk2y65U3KhIO10TeulEPcy3paf6fCoeQ6n6Pjpb3k5lY3B0Dt3FCwGr+S52vP+xv1q9wQb
TYMdkBWhCrI+R5uWrKQF8KDNwM3qMhDFbSJ0hyea77xp1imI608683GfywftU+Hg/Xt4dXggEMCx
QdoNVtt/pYwg86Atxs4Y70x7qOa7zGz98mbBb3L9YjQOiiP7hkIBx9r7l316tl9icboJvoZcAqoB
rk67+Cg/KCBKe3mkuvssT1CoPbPqKI/ARaS2mI3dBOEs628Qxeojc2NZGfrLO9ZiuaBzWiZqXT9H
SBQN6fkkVkZ7h3ttEAoknyYC1/MeXiZjnUEEJepjV0tUsTGsSo736QKzP41lYWbFdGYLtyutfZoF
YqBSR1XSqs5yti7hbLHXdDJz//5zP4E8f31uDcz3yWG1PRAmSccHleVLMCh+NdxHzepb3SMJckec
l3f9wHg7raXLBVY4DWwITb7Yus3WuqvVbXPWW/hJzanL/6PhoIuqltkzUILyIL/Q0mYOiq2JBq4C
oRAMuj5ePH+xa2RF0V2qwZrdCWwMjMQo9kuT9XUFa9Gv812mUuKXCz+JFsKXeuwlL1s1hj6NLMco
c/enDAx/9q6sNedOUiHmDEOKnG7AdDmLCfPJHTr9nRvG1qRVGTYis60ZZwCZmNGQ380C7oQ4pxgd
jcYe/6LRsmPZR4MVplgCcuKVoPCWRY+yUMn69Owqt0wAQBTemxNZwnEgSwKoHbgIHhAkQ+XpKHgp
+jmPkmWI7hw3H0fxT4rPVOTWzEkp1emYhd07+z+Mndly28a2hp8IVZiHW5AURU2WPCiJb1BW4o0Z
3ZgbePrzNYHU2ZZP2Sc3LtuRCQKN7rX+aRWTx91Qtvt7YO79qwdpxzREWBkUbdDB78tH0bLXLjil
X+BCQYe87V1fmEbEErBB5/j+FPDsCb9eg//H56Jt1d5+BL7M63z3vT05+0AYq/tCSgKf68peU46z
LfT+2CsHdAr0RiNlv/5c6x2LglkXRpYZ8zpJWTNSej/8Lx6qwnCqunldXyYM+h3fcQCWyw97ucoG
lTGzSNRgvcZpoRuX3jPjyhtGujHImdgqWly3CLqLyFTL7AO7pw76EzQ8nOfxN1jBu/QvymkNbPNY
NMbMxb7fnyJl1mPuOtmLSsKRLjEsM70QXMSw4VdqgCKNjnZRJ90XJF/QC4cmXVTxN/3fSK27tyKJ
nCO0eCRgVUVzdBw8eAwflIG+0b++tz8Czvpy6YMYbsXdRS/1EwzftybmNsRizx4DQNlI/DzTq0i5
zsLvNsQ5n9uoOHo20xGXs4nMhJOltBnY9jv7908LDHcBiZp0ifo/zHc/PmddJgwCWvil8VHC6emb
hNp1BwdvMp/VhysHXN/M+fr665vwLgde3wWyd+iGiO3l1fqp7Y9SldIcuuw0QQvQ3nSTZgqbRoEk
H+zB00zXKhiZFeraMxPly15zpb2jD4yBzF/KgZk0eUpDD8cbl72TR7Vs/YVxMpbSnJ09LemYPzF9
eR3WY6BqDVcBVpZe/p9ff6lrjNsPJ4ZOAMPSxDmp64X3r2vkLhmOv2J62cnDSIrI/zBaKOeyUx6s
vpS3E7zb2hyb0m/L9DZv7H5AAmpWWjWS9nPLtxk6xmgb8UTfUgnWMXDVR5DoIDGYrDP6jnEwh57W
NXZcFdnlTesrswJ2rzOvHC/B4Pqlc3bJN+2GL5NOijVOW7Fgz0SsUmSTQscvO4DbjTTD/V/ZSl4b
NFrQE+5xwjkuK+fs4yfxFrxKvolWsiozxLd3YzsBG69iIIL/bX8c6zJpRGodF/3gGBEsHNoX1xIp
X460laojyeJKoYKw1azmnfasVMYRiBtT1qR7YmPhTHmoHKGvDzGlt8xn+jyGQQ/MigzdxriktSnJ
mA5KRTV8AMrPs99RQj+dNiiHdIo0Q+50QvD7g9/3snR1g3J4mTDc8E6uApLwrcqSiPcU1lLfw8Cq
kuHS56VGoX+9jH7+eP1SQA7oyAyogXe1JrVWXsBIy5cdynTtBrs7U7JDn89n0AWsrMsoPq6iSgse
+m8+/91gXt5NwkBQzWHg0jEIP33/bHCJrVjb6Tn1U91VFUxH0Ripk47FePDmZEV9z+Ws9GYtkAMP
0F5dTS8YUStoKvbezLBnjRuObMj84Q74Nxt9vZfzi4hYS0nvdWYQD0064RQzvOun7iurditNx3fp
OBAttwRTU09xZOKL948DY/RwPtGjsmvkcZU3GWObf/00ftqutbZWW4BIr3DpAN7tkKryS7tHZ/S8
b1G0I64mHjZdlUO72r4RBM8e5vuNw2pZ/KxRL3Pd0dz/+lK0wva/txcMbuh9UVdrAzOxDu8O5cRC
UJkulfpcN4NBFA57mWYny7Fiq2YMwXD59efphfa/n0cUFIQtDjM+jhwe4Lt3C7H1W0zDRZbf6vF2
7Rsltz6oBqYs/e6bvbN86EnsutYgGFNLRyLAwh/PIW3dT0Uypp8zcqQd58Dl0BrG1gJORnEqsmj6
NrtBncRDPyQtyix21UrBKYGGYNLD4scvv/n676FpaAhutq48YSF+Phx7VQ2LEHX2OY1SvWctTulQ
WJQISyi0t1JwRjmhXqRBMskFj5cuxdbricYB6paPXrbM+owHDeGB+atHH9/n0Fv2YduS69Sp19eg
6O1CnlcCWuyPEHtosg59VWsN0lbqtlTpvO+9v1D37mKPnZD2GVU+XCpSopjWnfXTgiat9lGvxDIw
k+ChjZrBXPBhBNI79hC7PMM2IF3Avm3GvKZfnOb2iqh0ka6cLaKeuDwGBeq2Vm0w4a/v7Puqg+0F
IhvOiXk6BNG99wyOg5WbEYzEp72HrbtgmG5Ebk7JDU0wQY/YNthIfld6vVvQmlBitgpOeSBxrArv
qx0bwi5MAqGeF8OMlPzeJPA81Ss0TF3+jlW7ek3+6+1hzWjDoo4CoJrWyPOPS9pVzAUXHN7PmRBo
C+MSjNUxiXSRsoMUzNxJidvaHjQyVnom6ydNpVV4h8Qb9S+ySgT/Y4LYhyfmmJ0yPm3QxmQ5eOtI
XtGqFi9B4ejhLjYRc/KUkdN/9e3R4c8K9jP6SoBP3amOgxsl2T1WpLFw7obZUaZ9HKdI/1McwiuX
EQLEG5+sHgqoO1jFOE6vM2H1qzpNxSoLbMkGIFoS59uFGtmov1igbP3DSWoG1VNWARLYlxpXAP+8
XFfYprgEGVEmA9EcIrOPuxqmgUKB9/a6NIqqL812I2b6L7X8USvoV5c8/mE0nQ/ImRhajle/9/Ev
DZHy3JbMlx4lz0sKsMoXaNy27V10lWXGPcv7WosjsojWrImtdoJDvV2IfudrEYCY+fUtpLh0Mzgt
Hx7vwCgms8pPjqcmrhp3DiaBhxQ+kQe2ahjRvGQUHGvyXLl+bhU3YnLJjzrgh9MYcUZSUxK8JGBD
/tekCvWlEEXswRSVADIcfvszKNcSDC2mmGub5OP+HkeMOAd+xQDQZ/LUOliknKeRqD+pDlFtpyiB
ndKCxj4bXaqvbwUPRJxqRdVcJ5TOg37khtJfGYBwLgggMYFT8dT05Sb0IdqT6tgTKJ62JWRQk/Fg
7MbClHpiFoG71EedUdFlJynclpvoWrJnhSImd2rjtkyWlD/cqRLV4Z5L7nISKQJ1C08Pd3RMRyPo
00dzspGRxUS3gy6fyyWfxuBJmq1S2ecsseu+e7X9ktE5sQQQ5m7IYPTm5QJfycq85LLV670KXf13
k7NE5OflcrAe9nIIGRzF2aMaita7NYpIpafUdns//1C0RA41xzH3JD/66y2LB/7jaQgEwJbFWw1N
zlkFEfDj+8yno91UlXieqDnc7rgiJzWcuKs9ptvEbSMURaoz+OD4h006t2vswk1Nu5Bc69WgosLW
KkDbl2kbvBpoCcP0zzlh6YgYU7gR0Xdu2Gw5EA56bs2lqpNDF6HMFnh8iBIPmEOQocS7KNmb3N0J
6kszKX2rhQa7WjnCOMltIiAXeoQNmf1+3fTVHv8E/1829VhqYyvJldWeMhfZRR1LOOH0nM54y40D
XEZEk0WH4oDGh8lS8WO1MWnguBp6jaDvHHZbNBV8M7k7IIigynkjSW+Fp53lcF+RBFlH//7gYlet
ER6SgRVbH9p2wrR8DMnD4RfPcYewjlcrmJs/9oIxdbB/yRulXb0qFgarHtnjph7J7FK3xhsZsotV
7DDRUkhv7ZLuA14WpMVxSJIbcsKmiNqMq9xFG+hfclHfd3onzqjbFl2m7tVqv6YJfteDUY8avWPv
rEX6wfeHumN1ymgaoCn2SnWX8BVe767tc+GuntXelkuveRq7XTQXRTvldMnRm8DO8jNgxMKP70rE
ZCuT20Y5PMSdw9r1oLakXOLcN2EJ5MHJEqTU8WC2fvFXb4F9Nie799ZKXJqSAiY47NB5xJJbHIT0
BtT9byzHP7YnoFEw9eQ7BEjByK21f9Ko6Rq0TKP1Ka2EJlE3xMIkGV4Bj7kry3hH5AIUYBQUv34R
f6zH+XjCNGyWawAY7+mM4B9fwwmdomAYm3qyG1f3zGNLLHOGn+dalrOd5+olzWuTy4gaFHZczSZp
/P/AGO/Td4DJ6ApICcAQTcOPqvLHqwH0DUowyILH5o5L/VgNLNK5PebsBqZxGOuemL/TJIXgXYnm
gXp9F0zRUmm3xr5aIZuSoHgGCYLQijN+jteVoamaBSuuDGcaXLnD0WBZfhtFiILu464l2knGnAPY
x0LJxr38thW4mtl/KGcAAtkU9fwqDYy/r9DdbPApuIf0Q5MK2NMT5UjYiBtKEZb9qd/Ek5Cp+qRZ
K7izp30Lj4QOS4wXJgQv9cUOMXAXsTTHcXwYEs9oGAznFTxBXhfS8ZjjQnKHk3XZ+srokJV6G7wf
YHWscm0NmDd5qGZN1UvgotFFBxTV+lMjN9EMjJUUmq2SRJrV7qFnSNW0nKYRQBsN9Njpf8THVuhm
zArLLFppe6ACJ+C05J9qOTy0CjYMdONfAKtAlaP71wJ7xMsOy7mdC42NGWTQ0Xrv+nD6eK6RgSOW
94HtEX1B3ADDLA/EIuBZuScWvuMAr6bqqkJXKXF8hz5VSY55UU10cDejLTWMbHo9/b05Z2BJL4zE
mMpPcsa/ctlqf0WgMvck18IcvbTRKK03ZGLUomZC6tU9VA6owPMDuroetlzxGOT91qxI19Rf31OG
ln+Edefn4m6aOe/EsZtq2lZhlGHGrBWTiezreE8uiu5o+gIVXHfwS5+zxDUlUcsI90xqR4j6K9i6
Q+FdOzFP/ra3qtQPLoXf6g5mULZJaRKotsmOMCRVdNtECUn2d8WmvNwvOCAxl8saulA7ZXrsDHym
aZa9vnF2nzDvqm6qqqNvycSSuGhwy9GwmVaPnXf84JkNdppzOJsFM3PsNnPhJuYSzx8BrYFKua5l
u3ljwyzZ4KXMS5WOhwCbQG7c2Hm1aCJHBAuo8MBuxhtYpOMcpS/5NBPKdLEL4WcXBu5GFHZyHUc+
gEWpuKWm4RJbdubE1/YCHIZoBibJu2ySymCmRte9dr7UAO9exYTO1KC6XoKEAPJbS3Co2rf7zUSQ
464dyk1L4pNnSw/Z4LvV0CXg/uO2OfadiB3+0iX1HqJZfEiCDklDVNmaScMSLrkuFdaaJx2UpjAO
avAD+XHJa+X7x61zDRoSOWsqX5cltv9GVGvPz4Km6Kc+uIotdZcu7TxdaRlhat7ixV8HFY+LRZLd
zUQokPlJgtWW1NCe3Wlnms9Ql+lBGKRcOfdeajXZcGDH1Dv3/jKaeRNMQSzblHSVo1hM/b6k2wNT
vqsX2QZ0RBLakRiBsdKweNxva22cVvcyL0Vfh/c2p8+ULkdRptdqZK8SqmnWBJU1YPBgqI3JhnQD
j5CTntlnhZN8gh+zZvOuhcBY/JMhkWkwtHwTa3kzIctDrEaFQeFJiEZvSSAA5WAfiFMYm7fquo2Q
lqYRbM5+qdQzhRg5DlXMGb0m4X2FtXRW5yBLMdvFuVln5Z20DbeVxwon2BQ9DTShrMlh8vTzKkK/
RXswb/gjWdJaNhZ5rEVQnxBPGxKqmcf0Sr4bM7B1UtiVCpwmU3Mau2rOXhePjZWDS7MYFhsKLGYT
tVrmvkBb8ox3mxBDavTeY5S4HbE98R25iP3urYPR85VT2ZrjZZV9+IwCxUsP09zoy7EKVxMH87XO
rBOgd2DAYB4tCsygaW00x1aFDQMLTcKwY6rALscK3ZMhVchPQcojQxRLnbE0p3Ic02C8+5cYAXzm
upPQ0G+kNtLrF3rjvtok0xuT01TWcpMzYCH65pYdkm3XLrHLx4O/tETaFX3P3EWog2zyp4Ist+tr
NhtzYji4q+duBc2MFSEBVvUs+d/AIWJre5enMPdR8OWi1CvYgUzyggvjx/QXxOFi4kvpbFo381/J
abCiHbDxeldZx5/KiYEzLP3C5CS6CZhpgAcxpvzLxkvrjQhow1Jp9UmJ5J2tIOXbsoVscE6XT5Es
733q8LZ5TqJVb1gto8W5IkXDzN/t5fjOCRq+WU71AQlvUYWvC8Nsh0tG/c4T2q+n3s40+8pDq8Rw
pfNxf15jhbYIAd5YuPTFwACG3rB3RXhdrCOzduc6A3Z83EVyVeqQ43nZ28GJHEt+YG46ytyPImpb
g/HPLaLd7+lsUvMkuPjLR4KKqBHVFRnNulTbLOYNeupRuLOm2Z6vN5mtn9+FRSqm+YG4LoKCb6Wi
zzVPU+CDAB68HvfgfPazWr90csqZXxCn2hT7VoEHtG9LtIow0SME9Wuyf8EhhM5k1Zj1VWJaNXpb
6JF7oOi4YqkkmmjXnBMVGl/dj8ukmvUnI5Vyufv7jl2Ps89X3qQY5cYJtDLUb5GdGyaXP/kIa5vn
yW0KDsFpM7JYG5dXVY7+HKka3bQT1qPvd9cI/RQQeen6ZRdG5JgSeAnSNdNy2B0xaEupgR2vmTQH
xjRD/TvhUzjwmhdo4HP8M70+Bnamutx2wPUKTXdXEHHZyPPVHa+rLggWTFTt6MAD3dhGOLA5eOOs
dZl7NV/Yacb6LJUL4GlvopdaKf0pRTvoV7QikotjP/CriTe1dj390z7ikfU1VwmjMy89u6app/OV
CXqd/Xvvi2i/Gfub7blEZ/FwNgY2VEHDytq//r4JM37Klk48UIj5xTGdoYkoYyzE2uSQ2QjoLvZU
cf9u5q34a0Zv5eBeGN5bi3s1SCOoHryuLucRMx7B598B+9ksj1WSDNS0Nni3/9XlD6llNwytnRLH
6U8l/tUkwA5BwJURp1T+/JTH4QESRSiexi+Q6IT8WEI0Z41UBkz/a6/ZwzZeyRPhlykMZj6EVd0B
VriCPMDocc7bQuNXjcM8yWPH5CJ+idwc8R7At5uob86EePerltTyxRxSUvXCYdJJ9QQRyuUODjNI
qyMyoaq1yb6zS/mlGnON0zkdqWVG3K9Kr9wNNqKA6PnNDhSlGwwoO6kP/jHPNTY5uImGjH/dxem+
6L+7CRh7SCboDJomurn30VlZ1XUNAYjO05xzzDAwqQpUMRydklvzhlFUr5zenleRozKcCub8bevu
11fxUy+JoATDA8wOPBeU1zuCIzAzw3eN3n4MnZrlsr86ZcZqoO24SrgKNekKpNle2Hrj4LOtMvr1
xfwIitPYIgeAa8APREITB8W7VrJAktkyiXR6zDylpeZqospih7n2A+ucX1/FZtaWyV9/8E/PwiPH
2iJqC77DIU3xXUdtDyGG4sgdH73twA064LTyfieLR7dFObHXAlM+Ynz5nm51+68vA1n4j4uChWD5
CG2IVWNtmAQ5/9hMm2zV3JbJvhm8bDXCOCjSxsX7EUE4YccYUEC1KKbzyKfFnCOVpCdiJDLxwd78
EL6D5Mq+zYPOMt6sEcEhAuur4Wm3d+ygyiSQQDGaOgDMyY74VWHvDlm2iu6xo81ezEMdZJlbQLOb
Grxt5moMSHhAtckrPRNEgSsU7dRSx7vbguNQo1LuJCf4yAgY0m7iUVtz33Z9q6iYosKkkyZareks
kYb2OZIlkoIehYXZvz4bkd3b3/B0A6ucFq92gtdyTTw4+cA1xr48JeTdTO59ayccBud1RBL1xOm6
1OlxZeeVJMd4ZS6Kc7VETfJoaaKYPsqLjLk7suHKaHlauj50JOqJfOUNQ9W8prRFzMoCZzB7CCxF
jnqSG+WpFIM+hry+D5Xxx8LUGyUOvdNhho8FugTjszubpNbGmLq7pSLaz0Qbcc5Dr2LxzgQorugy
1mGp0lM+9T3uwCv8UW+OpwS6Ivgb2WhWnNMqmdsgzsoGhu3YtcOswnjdvM/55nab6VmJvLaNBWTi
OKk+aBnu7ixZ2hxQ9lDFX5hisYzdZ86BFX7DbCO0by+cpUXeovoVAbnGnjfK8tuYqdl8i1qC/C+j
7CwrJZiPNC78Z6AxgGi7YXq4Mnh5mI08kK5MxqV8mEKpZcAb4Li7yGnwdX1t8Eh5NzdX1LQKrYcY
SqkFrRNo/tgjb5i9sY7Rl3bTP5shKC0aOJws8GewQjI/XYJoZkdM2DGK0Chef/OKoRr78R2D0Mea
7+K2Qc7Je/9+l4F3a9gMpHeZRJY7U0xnkoris0WZjBW5brLklkFLuMWA4EVTRZ1E5mcnwS1he2N7
JHgvL+9x9SXWUSLzfZjngYEzjA5KP1fVSMgJOZLp/GgHNeNqM+X6dyb3YORl5kBIyzuaF1GJ8sBg
n948jh1/l51ruzTEh6IkJOXOkKi3zyPYZn7MRD59S8gaZFCHl89QWbbV6WCmXJxaOZjVoSOebwHr
8e354lOTVzfCSSJ5bJM0GJjeoGgwjtZQKus+ihr5ZAQoCGITyD4gsCibj3OYemvcZKE8Uo+K6C71
gMVJSGmCBzRGTXSa6Q5DvmwZfKqa0XocwYtn4GXH/mr5UX5XKa/3MYsHxVNXRwSkI4N8VbVK43Lo
vvlZ1r4all0+Va6hrHgdXHbyGDdfUk/I1jO84A8t8IwdHuG11jw6FE5X9+YDQLrxTzSlzhmfTn1c
ALdO9Kkpg3n7kOFyyjqZxBfV2DhX8dlHgxn37OIIzqP1YVgTN42jKlgYI+KSrN66rjhMVtV/mPJW
PieO7B5TwPObkiDQj0NoOOckMsVJFFI7cjyvuUdT0ZxNN2O03CorrUQNHsmRSW8lxrzPpvS8vxY7
zL4k/dC9LLhnH1Jk9Jeq75jeSlXpHgUjntDvzuuJCXgugOxaqIvpDOO9zmj7IOzeOq1zV5zKwrWR
30+SyO/AWv6R4Vx+agmyeK5dc7hDbJ89zYFZl7FBCOypqrv1Hlok+oR6vLqz0sR7Dul2ifLFQB/T
/Yf3Js3Ml8obuy8R9owzx6ZxmLwuufW6UXKaEOF74Hw1XKzeoXvrTn7zSQ5zIw4aU7lxlsn4ltq5
eIiEzA94iodPdNo2sEnnnOdA2I+2kxrHeZ3W74wsFm+pnyPlXRLjKCYmX/RrYr1ZOAFuA7GUt07u
LR9W2xge/bSXZyubpks2F3ARybqAD+QhYXGdcJ8JhwjViWiJhk+xkpNBN3wvpUuWbxgy3zhkGPR/
6BxfI1+MbxbH25m6M4pLdGEwNR77YV6an1024JOhyvCDlwbBrbPmApl9zxdIa9/7HCI/Q2kzQ5Yf
RSiab2NdeHmMvEE8sDTzA+0n+Vwe0f80cxGvTFhaDyl61G8qdw2gkg4KBxnZxWM7eREihwcmHekV
SerKWLSp+JY1ZV4dGIkIGuLNzSGRiYUyAUsDXd/kQCbPVfPGhkpun80vRczBUx7IXLCdeLGN9s/F
CEbmScviUo5yZM/I1vIFq83wMnPY4Jbtm/NIaFEcKofBixTPdpzUwirLg5FP2UjWrJJquqnSuv/L
CobmKcMmdDJmzOfHZArMPE5Lpv1A4r7OBb4WNYo/MnwpF0KE/p5659Un5Y24lVLdGGNQHlY6xZsS
DM24WENbRg9AzvUtX6xyDrg25BMVRRYRBzsn07FtbY7kzCgGohYSyfba0NPEtlWY36Da1GEG0Pne
k938l5EONqRSl7tNzFVV//hr490WmeHei3Vpv8I9GXdlMUy8XK56TF1nvhvzvsCR7Xv1ESFc+9fM
2XFvLZ7/BbtF+1Inrekem6wcbvxl9l9tq6+7Y5IY3V0weAEBSSg0vhtZnS3QNXJADmgTC3XKvD5/
bJUzooFNenmUpRc0cRQgHQj/xLsfHuy+WzC5cIfvyFaxj6aYgRpWv/8oMCOcRhvF0M3kRebHlGp+
ipuwTvhCgr2E5uwjmhrjhXRC8V0wr+ymjHLnAaSNMEhuvHk3k251Cp2x/gzH6iEZWMNviSPSLyWW
455ROFjImUvhyk9WVHg3hbIIwsmTrjqnIsy/ukhzbgNjyd7cnhgBl7mhCCjn7DD6q13FKmnIQu7h
zZlXH7V3uZ03RzT5uAzcMjkWucz/CSVjaSsVhi+dJRi70rvpbcX8HwLkCbFDrp3e1+sk71uyBLnw
v1El1H+3q9UgdMTtIkqHvbt1hhPtVs5PeTK6K90hegKEdk9L7nU3TjundezNuTwWnuE9uFL5cSDN
r0hx3XtVKoi8yhnOc2RpCIN395h3svpzde2MuBVP9Hjjh+hWB31/9pEsY7woy/zJSA37wCEsPjad
mm79yFgvJrvZeV6W5Nbls4tjMLnGxyycJg/HdGRUN6oo8+ZcpmFWfN/QkpY8fjqPNQ8RlpWrpSWG
+dpqrGGjAORKoZYfckJdqCLtKM3B3yHfdYDIJkST7aSplU2luAuV+lnnB3zckYmSDQU4ZUOhQ+ae
AIPDs2D0Ow24WKrooKp0XvPXAPab8qogdov/xdsk8BRXuikNrnL8FXnp2MSmHAHCY2Besb6qfEjb
P5h0VKsp3kw70doAUVP2wzJcosZr3L95NzV+pIwBS9uBCVj0A8s4TesjdtG0u+0Sg4xEEjXkImPe
Or95KupxmMY4jZgacBqJZstORt853dEwGu3ESZol/G5iHUzuSAmyakDpkhLPIFJqvmkDVzYv7syo
+D8Hj6k7xLajvs0/YkpLLOsgZVnZ5j2sp/L8MxqmtM1jRkI3mHZnMouW00CKSohCti0Jcs1xUWU3
yVxwcMUo6DS83SuQtmpTohVRBeUyWlQ6R0zr/HV0NU606yoXckJ7Yo2/Y5wtR0JYAJi8f/71rNgy
LB9nz5Pp3WL6vGJhIOSZQc1OXcEIlKv/jYIsyE+MJxqNc9taZfO8ByHVK6yp4HGkzfq6ydciAipC
epCM2xhkk9X/B8+fhqHNZdbtgvJqDZqAoyEgeNpK45z5U6AQuzkYlAZ6j6xXdoGX3XGyI/RR4la+
f0ocDr/uiVoKwG/ewekKUgevzmivdXFYQ6Nf0jOGAMln5lc00lhxHF1ASBA4lila05dNuLc3/ECz
OiOHda6VFRhNNFXYjloHkW1/hvFKd+Y7kM6Id+2tz8xZS642UnzrI3Z4ayMud2FxmzfI9S50QRo3
Mzd1drBhmuTsaUxzu5qScQs9E/OuDoCelo5/fNPODZOlIUQIwKSp9OYTKuuSBZM3GZcKwVmOWDbg
1ogz3ffS2R+SSXSEUzIYsyvu6YuhFuJp9j1T3q0pqWcTybYc/qCS5Cnwkm8xYQ2RAz0O02zDv0MR
SE1bma5+fRI0wDypJbEMbO0dE2hsC+d+CcV33lFA0YaaXWNiHjhLmmMxfR17V8Msvhly03dKaLDr
DLA0tekOhlOY4/j6ThBBytikIAkbL2D1+MX6Oow6naeNUoYhXGjWsczFgpA2tEXrvKKePFuiGxcC
I7Z71bq2UuapC4zJxkWD6J4ntiV7Tba9AmkYosyghBuHmgj+ZQM0ozm9Lp+m07BxI6R/fSJbTtD2
mHaANXXnUAPYiVg1q0KWNA80oWCpvIeidGU1xHWOgUXEwRVq2qlROguNGPsqs1Rxrmf4c2qfpOyI
8GU2iKYRmKJScY/1cB5+eu4NwG24Qr0c2wV04m3ZDE/jGgyBACEme7vWqtHW/YJzSNvMyI9FDHTI
CzoH2ANPhSM+ryuBMi7MOcDFtpE4fjtN9CjKjTJTxhU2DPVKQmvXv+20nIhyGODKrzWN3KPOyLmK
uW8XZm56qwYNo3yJFg6BcVFfC7YF87OJE1WyO0dZUd9AFU7TV7q2/Fuj3bLzoUDYVH40s2rEOquc
jvew79rCfc3WtKgecp+QAoYDFY3/su0lDDbQsL24njBDWiOHYKrJyreYBhMK20AiRzjJtXkneErf
810jwsw+DbDXU67vqM1kvvV1J653Cnq6JlGRPcqSbOSoGQq0WHAUSIZqH2VteM0F6nhrva9zgL/k
b5FRSr+V3qAb/c4mR4zRedcP35zpGwrUE9TPaYeEQmPog0R08LFeRFJ/kzaOhjEmBkctZry4GIPz
w7Yf7Xri4ro5YcXVl4MgYVrPSx1GyyEJGlfSD16pCxnNkB/bLerKkrkLsZeES8JaoH1UfwaAyu2b
1YuUO+VuGQfr1VW2MU7biV1GgaYMG8UIjDm2N8WDA6DCH86JqcVWWxrWtkfvx/zCSLwXGTET4Hvv
CeYTQduTcPGyc9EgvZpOmcichzlYAh2MUWHktNWRoZuV93nbyjDYaqZklyhXoQlv0G8Aiombyhg+
zJv4ox56/T+O7YyaOiEnsX3bxRPgXlc9mFr0myonzCjjh11B29VoeYj2VhQBqGElVSyJItcnBWym
d1TRSv3lN0styR36+NmBV2avKQGxOtm1ImRu24h901h4D6B8NY1HppcW7eQTerrsGJE6xOPa1svg
EnaI7CufZ7ZEh7zT9dWfFjIZLmohQxvzYEnKUE09LxjpHpwYKLGwnbSq0HwYc4z0TgA0qGseZpuy
9y2S+YFaaTUPoo2tSuTs9Hs22Wbb+teWuSTaGjXBirLbkj2tj4vtue36rP1hb0SNILSBf7ft0qvI
Y0708ZzX19S2QAS6wtPBCOoFNczIJTZ4ggxiFSAoI4rfq1SHWX88aHctp7G7TfKmd8YTyk9RVXfA
n2Hbna2egNHmuYl8pTC4+TWL/4wEvzRhIckTIoiqrDPNIk04EWHCR+QJaILj0qlgZW9hwLUqb08J
c9xOv+XkFumqFMmFk8lD1VRy+LuvLIHO3Onc2s2PnjktwXxjWYvW8Zs4ybgzzjXnSEyRJtgIFdQM
OKYOxkke/Yry8cW/HjlG1es7t6lwUhpQTXFdc5B2jmp3B2Be0jcQsYuuAKSPfPo1KYnDWm7MzVy3
HV78uQ8d7mh+dDjuHp9JrE2AmA0hlpC3KPDxntwJjMBc2loxBvLVHcxVc9d1XbnVcTJoKY+QqMRe
PpHtQmt6TJ1MBeVxz/fYZWbIqSPD/lIgWK6im2l7k/dlvL3QTTYxKOYxzQ21ZocWl5Bov/YWYraT
INRoWo7ocjUtu1c6zvb889oInOGN5J7r8rq6IdKUyRIw9tGkc9P8gFlq3r3pdnrX3TnpXdixyfXy
rQpH46i1V/sNLLtCZzJ4c6XlBWLs9BtaJJkWXeUq0Mes7K6mwZ7BBNzCzijQu2Jc64uEPqXLWC7Z
1ZM7utEMfd6ljd4cdvKm4yjlX6wrWlVMgpuYcFfz7K4No8emiBhss0bu8jJJsheLx3FNWpeXskR3
7jwJij7yiJuC5DJOU45gfi4V9YpmviyqEYheka2hSwMzSVEIDTU9FKpNH1U1QTwD1RGWCwV1bBzW
svINEGc0ujXJntcyevfqQdqRinWZDIdhr8d/bSnkj/JcrC3Rs6Vo4cK2GLvtRJwiRJPePcMxtORj
J8G9vtYmu4VMK8QExeKWdveNCQ1X/chW2gLCdDxAjCdIFkS39Cyyfc100tZ+r5nsEv5wSDpSIM5h
lMAxMPAG978m+xvKMaoy/doomzmxr2Fl6pdsv68kBeg3JXIW/RqqZNBvrzmznXhx1CPLYv57J+e6
PmxnG1C69tMvgJHzKXBMpnkcC98psFHua2bvPAituDYgPaaxy77t55t7bk93JB9FE6d7m7Tg+u2t
YwNZDP+xdaSpwOXPSV1kmgnfDvn9nSaCd/vu9MTFTbu5ZhYrIEaJMy5BxXezqTz2DdvY9AN8ea0H
2QNba1lkrIOxAGNA4LSp6MLF0bvu7sdxF+Kp0P5uusDNaQZnqo+cfcsutr19NDFieGRpXGVOVYFM
zTtuNrQ8S1x5HufVma2LvFbfu0bXkA4JYPdZbrHznUZsB3yZ7UZvSy6iMuQebX9ko+vj3dk0fPam
n/j3aY62PtzSrtcP33QVeBMD4nUrtfYogZBTjFojS6Q4R/UCijcaPoP4Iia2xiZmjEbGKcwWMD6Q
EwOL97W+PQdnCPVD31jQLky1vDi4Op72kns/yHflRrRJavbfAR/oR7STl6iV9AFt9cz2IDokdFMP
qdL2UrQ9yYbFzb+JAtmgz36EmXq5NpvIIdtIz47wBV0x/w9zZ7YcN5Kl6VdJy3tkY1/GuuoCsXEL
MihS1HIDoygK+77j6efzcKhaYnZLU2NzMWZlWakUGYFAONzP+c+/gLXw0VLpILVecldNQAArj0Ny
WCOIjryUYTHko4Q6l0C4dYilLs8BWwIaYJRnb7plQT+wb41a3Ht1ngT9R9xM1so67VdlSyqMOrjf
oV6KTmz1DR40R+AokPYFV2ppIMmgxgTeQHE89JP4MmZp9VuCYPNGq3fByg1am97FykRntjJQesme
6DHM4TVFuyau5VzDrNXi4I0YImyFBpjc6C4Y0TH767NF/0U1jjGS2Py7c8UmQZvQcEEwNxbooIOJ
PscN3w3NqOCTrHSVXGHZwpI5i+vGSRfzSFnsrkc3duhUmab0V6wjfNAow6QhhzRMqEE1WDD2GRqR
zKeVFCerqNYc2ZZyWemHZiUE9oncKdKkHyqwUcqbQLnSpB0d6hX6nz5E9SA2bymZN6wzWibX+nrv
lIhgava2M9yyPnGy1pzis8fNSr9ZLUiNbj5TeM7lUwDtu/5SpDUtv8NGJr5eCXepcXWGySSva7UN
Uat0KCjw0lZZWlSDUZ/eQj1Ul3FTq5OnUfWIdqZMGiFBlKU2MwXBql2dKY3FrWZBs1ahlKLCFKcp
bHNRxmo6XFBOJonPWUZyfi4CTViZnC+Wg3wWMvAQb7GnlTe10nQQk4n9XbYCrtzl11sNk/4MYYBi
8a07disktc4URPp0dIETbXNjS9NwTaeWt7Yr6dGUnfiiqyVrcd2AcEYRdYnEv2QDpEwQB454NZGI
tWfgPJbueojkrS7cjr+zjH70ZtHhi4uHTmU2BMUPDhC3qDVS00FEFveZB0MR1wGB9nz3ApYtPb2Y
qPXXBl84L/Mj6zebSpdqHlO6RLkcVggTB+0ZWjCuIrh45A0O4fcr5FKFSefo+0mf1H1kK+I8ZAp3
1pGeF7LUnmNI2HHzINSK7wS8kvaPOtFC328obbuSZhtcndtjzvZd3tO25/NdVmME4frmZLDKlqYR
8pRV2ruejtLXaPVTWUn4cU2bou3sqF2a4UqrSDmO9zi1QBsnZjBsWaTrvueMRKTEh5V5XEvK+Up+
rs41WoiSjqd8xVNKmjpRVjaDeFTXVsmwR1E2lNLQaN2sVnpyE2SiOS1k5VZarmB4Rzl4T3mpq53g
M+EvZ7gtBynudtUByoK4IojzwtGPIKuoI47VDlIwpvVqWyyNaDBtyYxnsiw+UGjPk9ocsAJxtXkL
Ridk+JnmGDyXCOT5gy2af26fJExjH8eqAxvjqzaQ3vCpeIiFRc94Bg4lLGBIb430/BA5CdA/TWlt
ijKjUW1B2IQ0JV7VyQvGO9tuhJBMJkLNVsZB3Y6iSF6NocFLFz6utTRiKayFySCpf4uspFZ/GEH3
Eq+puj2/0MqyZlXGKJi1O0zEugTh8UZysIIFJrV+MVqdQ+m49pIGY2EuRdYH2rnF73sNieIuqjWz
Sx/Y7kRhjnBa3HBXxWgBUdvMYAQwFN92N4Dl4eBiu+7jUQZRnh/sztYGpuQfyZ65NE1RRFcpboql
H8OwYZWvMuj1oXBCdBlfPDBdnj4Tj0duDFYVovZrzVqwIJsimh2ezNQgdPg7ACFZ0atflze1Yb/L
3Y6cMOZO51J0hZxVCR6jjvf4CiNZ9a1MxFGCh8USiz4URZLAFMbeCE11U45FOw9PSgR7m46SzDBt
ulo0XKDwprHzrF+OVTjWk3XbeYg7PYGVLkGVRa/IKqmh9k5a6Mm7LoVdYx8i3R4sF2c1LewJjXHQ
RUPKaVAfbBK7m+tXbLhE+JeC92F6S6utZVu7ItWh/9CipDLdLb55EZpQa1lIk60CwKHDMjiVvRVo
lHZsE2ja10MNKSo6eBmd+GmOht64LOaizJ4KltE3S2Gs+5TZvTfsEcwuzDUTqPLA8VCnrsqx7j+q
Vd2Ut6i2gvwQDFwfLCqjnZOS5w4Gt7XDaN08gPlF/WlqWFv7XA9m9VCVhOBd67D8tmmZ6M0mKHWH
uiBk+4VuYnrl7He4MPdbdZzgfxEvPF411mCXIDX0d9pNsRTFuK0gd9l7yIrEgXn6MpbXbpwtarM3
W09EuvUuPn7x3sxGBTPIuFT6o4KJSDZv3EyfA5YYI8BJ8a0iGFMDvz61MBymtQqaj02/NOMM1clN
2gFzPYhl5rQpY4zBEj8mJcim1WR/sLcqj4GB4bWpWjcBFb5OSF2UDo53BfM37mzfGDR1WrYDM6vx
LivtvHkurQJWizdE1nitaU5f7lHj6gWOipl6EWN5jzzbboa7ivSC6rIG8TSPXtaWyrVVomt6cdmU
q5dKte0EDFQxu/lzvsB3IvS0nwZz8Nsej0CQYdzIvxCJzcwJF4EPEd9EGPjWSqE2QoZELBEx2rA4
uKMOrNFeiOfqHaP8bC2UVxG1+QTatnpsSeDQ0cJQuYEZo9snSDLcGb8xvbk0sLNJmUXhDMIQKp5z
y7wIhWRx9vNehapfym1ZgcTCo7qSrddCWZb4+pkOShi9O3xwQdppDiTCVIaBQNKkMk6XTmzSXMHT
PTDgCRP79CgFH/JFEjm/ZPcTELB8FU07Z3RgwcY4Yp1lJLkxujxhPAfBvJ3O7nrrgSMhTzkiDWDy
nvdm+NIsVscVD36PMwafxCFeAV8pfVms98FQN6p7N5lLobi7tNMoN+PYES3SosH0e20xlSsLRmqi
EP1XzyaKo0mr2d0INCzLx65yg+JL3KV28HUklAflrzqo+X2XdSa+7+jOgXbPA755xZ3O/wnHfTrg
eB5jEGYrUzudYVCbPTmcZPOuBF3sXWQ7SjgZW7SlAp9IJdE1PlclIR9Sh8NBHEhc3Fh9UrmHeeqg
ZgaqjnPkXa31YTYfiFjpMM/qLdqJFpttbWwpKfoivbONIlg+9hQeJEzZECkHUiAhTzc7o0vJcHrW
Mz3RlEPZZjFs/3dOy8s79QVUH80briNEkvagbDjwo9JD0R7HIearm7oakJhPuWpVu76pm9qHNKUr
m5qOs7ytJq+G/DSPYUIJYLnpHiJzs7e6McoOXjdDT0LV6Xh7wkn0h1RVavW2ZVC4Hax6YmSUZZ/S
LraeUOCnF6Xu9i8cPl21dRZ1Jv/PCiAqzxFvmjlRdw2IiG1FM1Tj6xCDwV3Q15XvIlDM2xwPkys3
GYYdMjIexA582fxa4cJdbFsMVptDNGTTS2NCKfPdRR/jzdj21Zc6rMiAmOEAbSHtOg+N5TbX6NrM
G3yrSORbxiSa97qV17e2NSVf5rKu79jdMr7lxIwQxOTG+6hqlAsnYJ+HSz8PF3qmjeRA02Srn7F+
Y1fL0Eh+oAwJr1q+/Kzxg7I3nG0I1/NSB/3+CgY9XSGui2B9NJ5KonoUcfPSqtW/MIJIraNOm1eg
4B8TbRMx0K79polByDV7sA+hQ6Xnx4y17EvLWuLUB0AOE8hgevtlKXIYSKFuC/Y78zt4FBkhAbMe
m76eqDWxzTnT4sLJiNBOaJCY29XlpZPHxjbRjPEmCULto6uWzucek4qXOEr7K5iPxt04aawyzw72
XqWr8Jcy80of29TddOD2k6+rQXOFFX75ibONk2FY2vSTopnFPgp57mj13ve5HX0M6IdwVR+TU6F6
+b7TO+9AFvO0N7DO+KznevQUxJa9sbw03o/KEryLErg7zqhnTGJ7nXzIwq5vC1JQRz9WomELwy6v
D0buxF+nUtEeWreNpl06qM0L3Ffiu2A2AgCakTIQqpiSH2oFqJI2dYNKCas2ZL2Zkla3bjc17U7t
9TzfDl5hQDRV4+Hg2M74nHj0YtsibNWNbgYDxJDJvE4Q2h4tzvjrJezhDUaz9aAVdbbvk4CsHuw2
LpEvhHAiu3EMLuFu9uGOfal8cPs5vEG817q7igrunkzL8atedSED6MFlIm8kVdts+SDGgyHce0/q
hIsZk+jEVTcVCtcjb5v5eIose4zD8pdMQTL8mLgDzvX8xt4V84FvMWfmM+loRXChKoPdv/dmyEzW
0R0nx4l2tN+LZz9aLt/QlJLYNOBwc8AFAUIvhs8MUJVyo/SR3oPXlIFm7JYZKFikwObT3ZKGaXfU
R8QAl9BzKu0SHC3VvswzZiLJxvVG13oKkd4lve9oPG3sLTqQMZUdNvD5narqOYksMEbx3ci36azY
3mKQYYvjZnIX4+oBk6ijo6EevMKAmPM9a+ZxmxdB7xwnNSEHuS1VVb0Z55DRbjGgsT7oc7ycyq4Z
HV9NrfYUJ55ZZniRkC7XQFCEkuYnKgP2ixnLuhJDGGZFWwyLuvnAvlurlyyDzDglfWYtv3M//dlr
CmE9tl825u02VvAOu+EbLv5A0904uIncOIvCJcIVIV833CpyevZ/JYBwVPpFy8AwxxH5YWd5wA+e
k9hCcJwkVn6zeqasepW6OatRCLaL2TYxpYIo/xujq7eWBoSwQJnwXGysdMf4mxolHWrhTTVWN3GU
OLRHOc2S/fn7+2cOrpsnx2uFuUigoR74nSn6397f0HBUsM4+AiaeW0IY8cMnL7I56mbimK5XA+SR
pk20xD95s+eaJVCnWo6Yf00M/9sF8DXTYtkYFwIbQmb9+QJsxNI2GXvtFbaEQkNPESnwqLXLDOkt
2BiZs+Y0axadkvPh1+//Rvmhu9S1pjBnIpXH+3skTzqNJoET4XydEO+yPLpuDwc7au0ASSMX3Sjt
3taJBPmNdahOhuhPMiTELiTZeNi6cY6y5t587pRoYWPJy+Ya//Co7m+hZ5Xzk5c3yXK5+gUVqVYa
HzqtaTmoeG7Og+K2drghcaAnYKE0+NSz29bB9XDZYIiNwHXf6LkYCq+GRBSqYsqE/UrOGgLPFdDt
YNBxcSLTWpXvjY5sMOvf9MrAZZOFbRLHY8Huob7/+WsNOD0muDjJdecNELfIDNLjFKEFQUNpDcGH
sSTouHR4t2ZMAb70WOUPEGUoOHr7N1/y2y3F5V7zNbviqugD38p7RvQzIed4ci2L+/g8IpDDR9lJ
/HpN/f3t2LnYRyllHNUgVOvnD5/EsNe8YbGuQmFh9uX7ZDcbiF3oJDzwmzd8k97IPUZWq9psYmRJ
qoTHvnnLtg0mwUmqr1ZoWDI3ppBhH3SnM3Ajgt2G7DqaKTA18Amgz+pW7ymfsz1RKIHaXMNPShkU
rdrc1TbdCkG0v8/ipvMoWEK5kEhohYgyxL/9ZC19lzH95FUBQSzBD8L/PpjFVKmSA09L2s2uHJ4o
AIDBav3cLkhgfgXurX4Q+IsT58IrqIvChu7ge/tUjILwlWC/yOywDGBJ38dyPAJsDfuyHXJh1p4P
wMdPjhaLUfg6I4maIV5UKvqaUfqGrDXod7G0mRgKRcxKFkLd+XlswgXy2eCAz5us0GQZFoJHM1S9
+Eg8P7yzvA9tYgs5OrWu0I2ubCQ6RwFfrw0chTnMiUygTF9maPDt3m0UM+z8sVGa2T60Ofbm3mVS
L8TKSBhMVUe4cYwZR0ZoeyskSOckb9bqeLJux4mcA60y0VUaX0JLX55WmxxUvGfyxLmlZTiKEtow
RM6TjFdVC0udk0NABsCsbaQr4ArPubonbqZTDwK+XJ0/YNmI0ElJYpR3QP7SijubhRmb9xkztgHW
GHpekyE3ot3qGxN9N/HhUCXTs2w7sTHK4s4Pud24tBNWXyQogWOBMwaFJsBsRc74sEBqin3FY+XZ
V7lejd41upe2f0wILcTwHzW9tXhbKYHyhB9msUfn0ua4fxACFBqwvUwTDR1qlPy569XY2XTYC9j1
blArgaGv1EDJSoOipoQ4E+NyOfi2hnjL2JVZir+5z39Cr9uliWod1rl+gWrSo9DU8D3/uEgNP4P0
zrgLU3vM5u0qOV+nMQykxTxpBa2DHufFL3AqoCz42J2n5m2jwn+ECbH06fJeArhGDaj7mjMiIb8x
SpbIepKD7bQllOwFvaZmPvWc0/0dea15pe+hDyvzk2MuzODuoIqKYa/FGBt0ObXGpcWxMVm0Ntu2
0vVk1cOTISSmz2gMz94KkrTj1OCLnY93rK2RnVclJV2Bg8vGsl+5CeyGAhZZchSSw73jpp2CKEjq
ydcR00p7WAs4b7bN+AO9vpbcy2Xd2xOPbHp+cJl+WjXiwsHV23IHl0AsQznWDBTU/ReVokNR2QzS
vKw6C2ZToh9YmHIOk+h6YqnYTZJetWwrCB4o4ldm60o1thMkGM2OqabVI1jOgKWo2ptguHVSA5jU
b1fLymISA/P1k8olBiWSqdOK08qBxkrHlY966nqu8gHVz2DsPIn8rE4XK5ItHxw5mFORbPNMyknc
97lugjSRKa8cwMrZIzo2wT2V/EnJUlthaRMrVvYe8lVD9WnqqC4YIzEF4wECI6u7hyrX6WVKwxpy
BOtS0i+nkrY7idXIoJ4x02GlLS4TptV48XBnvHBbnz0j1tHXil6vVGTPpV4tfeGEWH9Zk2fXsUGD
lRsbPBI+8CXJAVQjTVgK1FpkRUcrLu2FCYbcKOMicNlE86m0eBjTMlJTuhVPIWDL9xQzWp5qSaIZ
5eudtf2NMc/ue0Kr+Xb9AE4CQ2CCUTS653XyLr+a72v7vOu13AU2+XWOIndKXK8FjuU2AlNfgcCV
oS/JAN+nSOfJ4zoLDNETLk9Db4szYz0lVmcZyexatwfJIFj5FuuwYB33NJh2sS4LdA9ZFkLCjyFa
oQ9Ff4yvX9QQ31IojWDRaZIGISFFZAYmVTp5RrRnu8g9JxF+D7I4g3H/WmxMfqLtOAM04LYKDYKf
N6jxeUUwsPMsTFaUciq9fkHrIFJH3LvE7xKwdJyx1mPOhOyLtthdxCRsTa5cFbutNESbJZQL6RK7
g6NBmQEjeZ1GdnJfqcCgmWz0TIMJ8oDeZanlhYbVP20GdTr2FR8rOQ1mPjSLMkH+SZNkqUm+u6zd
cM8SjcPqvJZSKrGOUjZUcRj3BYuPgA/BenCk1TkdZ64dE8Wd1ZsaAJvxXAXK+bnBqj76EGKlgoCa
kEflNUtA12WeSiZHfqsFR4XZHAfiqtqX1ArJTSwStF8EdusDK3adt3kw0RU89Uk1ICo1CL0iNfaK
jc1hCeBynq62kqZpVqPgiSGLNzN3g695EBZbm5CHvt31qkrk3q6T3rxy2UJgEu+2VgLrcU+CLzvA
JZK0HrNDgsuXwtuENZBKhEFIbijLPgNgYSFIWuy6Ia+F47rQJX6rpbOgaqwAOXRRJsVrh7jyRFff
KE8hugjGuOS3rzVuL4uq1dFM1w1hrgVHTBDOCHAQu45kG1uFLphghMqLfRbgpGfBYAQVTQ8dbisd
GiTpgN7IjPRAp5sr/UTD5oMQrPP8YHVaWhXR5vqK1Ie8IjxzQTjL5bx6dUKTRFQmMAI4VzkKuKpW
cvbleSTxfOXM6Y7k7iSLp0aWhysTlOHAeflJkrTUujRnn5N1ecpBnSSg2LIglXh+KytbrFVt4tyH
iHEmHnL4b3En2eQt+LcJJEEe9FhxRfafXM0rBySRKvlEeLgKwvVgYF/ZtMiknEu3K+oyBmQObPNL
Lr/s8swH7RKyj8grinDUuzdsVdjLGEMYtsNjEA6FVWK7LGJ9MtcRHARagIHaXwL8ShILe2aLWo7/
A6HJM2zz4ADo8OZNqunN6jgztxayun0cYKbPBEuqLbDwEUU1UkIxHtUoL/j+6xa+T3lSx9jQ8FiT
pAZbcqLlTVqfMZyBl6bfum68ZPblClYo4dil2iZkjhDZqH2Hc9wvp2TKWGNgMwLUVbEtwZNGWvgZ
mSVInLwPVBjfmcMMdcR60d9ZE5Mi1qLGkczKWW/ymufACV3W5kaYq0XTbSsNs/AAgES5owmZympr
Mi5uk0+/bu/eYhSeqzuYT+NAYbmk1r2NGVkseyrjsMiu8qyC37jK3VaO3yzNOlbm3r/1xgZui6YF
PGMSk2WQofYGistSo6vdcomukiyq3S8znYID36ciZ428qVqZ8mJXwFlhm//1G59hnx9cWggopqF1
TaxBEINiyfHGlV1RXKPh1aOLYpwr17wkFrazwyuPJDlcajH06R33wFi30XCNWvqozYqNGc8GmXU2
Z2qj36Rn7UKnki+W3uF/14/V6dcX+daC09BV+L0a7QNMMvXvwYZzL8gL1WAcWrkvSfO9aQ2FbRKU
Zr7qTlWm7IGnq8hJ0AC4jvswdUNVVYcym7Du83UIJMpDU8ZKGW6wiMNO1c9ZBka+M2VwfB3lWQbY
HGdKkfm91SAS9SMqVSPa5ch/8YWQT4t1zjQ+f8z/eJn+V/hanuRdb//5n/z5paxgz4VR9+aP/3ws
c/73n+J3/vUzP//GP4/xS1O26Ld++VOH1/L2OX9t3/7QT6/Mu69Xt33unn/6w64Qwfb3/Wszv3vF
ALo7XwWfQ/zk/+lf/vF6fpXHuXr9x58vBFx24tXCuCz+XP/q8us//hQZK//x48uvfyeu/x9/bsq2
e/7jXfyCO7t8ue+/8/rcdv/4U3H1v/CR0TVE6Dgeejw/f/6BqPr8V85fBCrZeLeCRvFg//lHUTZd
9I8/Ne0vfgECMaAkbqfnhJ62xNWFq/mLUFiDMFVgJX4E26Lvl/bTN/hf3+gfRZ+fyrjoWl5XwEE/
PF6WjecFjYZBXQX2rVkClf0B9lVySBJ4taR7BmTEa7nq0O3wwGmuFIYWJd7fM9nZUabfNmxKO4VE
cNwCTcU38qT8ksK3/c0Op72BQwkdsQDoQAxNQydyyxWQ2g8XtIQeBCaMqXbz5GqPUesal4QoedtI
q8ZT0Q+UVHbs3ZRI0jb1rAYfCuYI90XcLI8/fIvrrfrx1thvQp3wqyZc3rK5NS7BBrj1C+umHy7F
LmtsFetO32G60/uLm8PMmAZIl3OoXevMJvFJmDZT00whpJpZO0xT2V670eDseuQNNwukipMVkBlN
IWx8JEbeOtRsZoQ1av7cF4y+oq7LtoxKvWPHoHIPHKUCi6jvaqt7CfSWqHFKvhuTQdYxaPLotmxn
9QpmcYcNjoGjbdnEzantJ+WdE5XFrZ47JN4hpfcDrZoTP4Oh+83AAeWQp31wzaFXHNnnHcgH2TXc
vfYwqgvuoDhMH0bDfMm7INsMZfqZCzEuFDQIXwd4u5sJXuemak3SIJ3wnZll15MXmk8ZfK59bOTT
c6ox8p2i2yxzOyifxoujpJ/sRL0do+r9OKCAh78Go6WIj3R02Ud8F0mOqbToHsduWrCJG+y1mnXT
qKHhq6QV7ca2aY9LbS1b3ICmPcd1+74YCxLdvaLFxY0OD2WNcenNy4Qaw8RrutCr1KfEv/NwPHpx
uyHeWXDben9OXvKa/defXUW9C3plvB81Cn8fp5ZoYRo7vxZLGPpjjgjQxztDx+/dajFmpXc2n2lR
4uyKpXujaAQQXiAX3KTjckPDe9EOirpRhqfKUj/ajPt8LNXxGWdwQNRq/kWZmyvoQt+Yc30u66jb
QW6IfC/p1IsQzbyPLXNznaitfTH3brHFs/iFFJVkS35t7XvleFnN0+y7VBhHhrjdobfiyh9mk3QK
qDpq4kXv9dhNN6j7lW2yZKTpLozBS+NL4gX7dtJIDWB8uI07pfZHQ88eHS+2SUOobyIMmy5I7P6a
5KG9w43K9KdRaQ66Mqqbxo5etYT0vbn4mLaLxjw86C7QhuMKiAvERZBaD7S9vU9eMmYHKq6jjptv
stG5M5YSmwPFdetLtVMx1pyqd0HfUNJiHE9mYaOeGCPOEzbngbcPAelPYRDOF/PSe+81nDcu6Xvd
m6VSlZi6MIivgljV7kianE6x0RX5xgXzvWYaYp+KrBhuSDBtxEpuRnNHWWRZm16vlGwLx5/Ydq8d
o+uS3WRLDOG4LYoqzHy9n59JDkjvldo+KLApIn9JTcU5tmFpaLsRGmVwbXuYSt6Vgz2ihM1txY79
lr5m8WHNehMSVdXg8K3qSbtXS2taLhoEKuXesZiMH8yxyhIYX+ndGOwnK0w/Fkt5CXD8CIMaRuVA
pd8FfbCZBVqOsKEFumSEOllRdYXIyXo3Jwvh6ZhWYCSsY4tP4nwFxq4/Z4yRntnw0lNj4YKF34ij
Xg6qY0Zo+Gbrc24GyqsaOf29h+//I36jxRFKXNf7ATmvX5WS1AgQ6nqvIGn0mRIPfgP0eewEOaOe
JtjQYxtgAKuWl0EQA8AT13owxiwneWkii8f1kuXDnPNgEanRvp9j20N4A71Da8cLGCTOt7Tj+ICJ
NrafymKoH6KiZTYNUde+HpsKJ4Gl0sZbLxmiw4CxR8oEqiIq1oKYVajYdEy1MWwIYekuGr0ZVexA
p/RdwQpjT2O5nvLJ6p4i6ObkfQl5HgCCklwy3A3SpwUpgPuY4GLuHiaQnA7ngMhqqldkf1PgF3Oi
BbexaSZ7D94mb90l9o6YOKyc9KKyjhVUiw1OXp395JSq9ojE9QZ2ngmeGhQn1xqbhiioBPpyamof
Z33ZxTVQOIOUpn8ZM61nfO4Yl4kBI3DEvts3tW44lJVXGZxYybhNJmvcJX2rbdCXmpdG5YA8FD3R
OTVpF/vaC6arPjCWAl+zXnskg4XMoXpo59ZXgDRmX22w9wUo/2xMgVdsmtld2CeK4KZOney96yL/
xDmx1w14CEnyAv30IW5Q20PacadTAeX+xJKZTg4ucjdQoKNKYExKs2vbSnskjFR7RHE9nTw3sy7H
oIX0OrBhqHDCfQy0+ofIbcYLsiLzhxBZwINuKyee9xHRf4A0AS9K+EGMkY6h5eC81iraLmTP3YxJ
ll3EOf5jBByGz1bZw9FuBhb4sOTvbHsYtkZtYECTEM9642GoVo0GDjkktFePzVIbmD1pRr+BK6J1
D7FCC9Zpc7iHtZUIu6fOTtn63EbFZ9Ksjg4T5Q8V+9Dk232ZHAn2yjekjkDJKpChP9ZdHuKR08fB
O/6tPoxNlG8wBvZuRgQt9zQaAocHk914Y2MzBIjAvLNOaZCn14W7C+tquYNewzRzMI2DBvyX7ci9
y94pBXU4zK33Vkk0x4U1l2wDw9Q95rNzM2GJsGcRqnSvbsmjP+CrnGkBz8swlsNGGfv+cW6S9BQm
zXJfDKWBa5WhHnJMMG5yrVKe2goLDAX+hhKYcCSbwLrSxmXEdz+tP2XC5wIE1PgEs2jcYELlXZSA
5WwOUfHYYl71CeKGfYxIsTvNbjbcJhjD7208RA9syx73lOcuJDZpP3Ns0JY4xkC4MNfuz1p/xArM
YNeKk48AZem7PqImhEDb7GjMg+sldbsHqJVZskE9pyI/hWxzGcHqmjHq6MeNFzktamEc4T957eTe
4Lv3qBZJ9RybPetwcvCRKnr3GcSJo44s6ug0pBSp28Bs6/2ENdHFjLjxvQ0ksfCjun1vNDVt6JLN
+QeCgjSsqLPcurIiRSFb3gg2UI1Lzn67c5ut3S48Te4QNVfYDBWAvJj0CM+RcJt29q52mnRvKklw
ahbT3Y+V1W40zSjuPTWrjqru6F+jFDB6e34GwUVZLFFB2jXYRuEzM1ouEo4r2E59snXDWYXzVmcb
o9amLZTm7IoU2erTeYMI47i/QWAafFqy0d0ymg5uK42MUyo4lScN67P4Ek1OhBBFIbQ4UCfV9pPB
VMOrZTR686hiVvkIcuxuW0wGHjMAljj2ubNk43mJa3QPQZ11X4mrZSuwMac68OVMp2VisAM3b7Zb
KpHIMS8GxeZZO8Nnuduw4KcumJhFBlR1NrLz0/lYrnX4cD5Jv943bO5xnird9mtBy9szqgxN7ZFR
GPdWQ5iM40eDddHWcLQh8BHzBMVmAcGb9nkYzqem7bCzc7XxI84v7kYdwuAU5TYBLb0o7kmBrz4Z
5dIeA08buo1Zm9Pp/B+pNFiQiWXwTzuoSGlTxrH6hFtqM8B3s1wMxBOLD1CaM/ubV1MtRFNlv0RW
nn6zEdJcThnSt41p5+alS7pZuIOrN51Uxa4+uelcfWwhZ1N6gUpqW62z+St7qD7Ny6CeBir/QzXV
vDkxsjXqORwegcM5hx6gl47XTQmRb2eqbEzh3Au/SbMPT17StPL2k2Ts3WE5IluVtfX9qa37V9P9
/7Ix//+w5/ZIA/6fe+5D8/paZM/F1x9bbvEra8tN+wxFzaRrIxEJ5oVoe9eW29H/oq2GGcGw1hHc
FDC2tel2jb9gf2EUQ4gSlnEIQ/7843vT7f2FUTBRcXSfgFF06v9G0y36xh96bh0yGziWeB1T1Wjz
gRd+7CtLJBNYzyYjHmd93RNG5k6CQNj1MdJ5mj6D6nfOkQdQnLWjG1yO2EbUTzDQ8+r2h9v23zS5
b3tcroVm24FpqqmExKHF+PlaHMtKcGx0tGOth7ae7HB7jror/CNH5X2Xo9A4GmnZhvGW8QGKvkNI
DkDyIQZ2ehQpmp3vdXkK09yFH3Dwhthw71uliJfLX1/n324ZlEKYgBCzMLaxAD9/vsxhUp1gsozs
yKGXhb5IDJuOE7TT8UNpEny+zbU4TDjB9bDxMVgXSeOMs8vf0If+u8twNDJJRTnIDXtzt4y5Fo1E
lh1zaGnFl8YYhmgPPEf1waCvdPZYYUx2s22KsPJo64asuwoJvnC//Pp2vMmqtHT4aTZgsEWahWlx
LW/uR0DNiqxm9K7yFAKsdmWXXdoBePa5p15XZDXrj13MJMO3yX7SyTSO0uoy0e0AjXuhzjf//uWQ
hWcB8Ns63O23pKPJIy51TAznSkyXi/sehuxMG42xH5S9CQtTc884Kw0nJrgOGmJCqEziZenViTa4
L9vEmC9+fUniBvz4jFk2FYRhQ2n0SBfmQft5wWTGHI8TSVWXvd1mJXEcIXYih6QLLYz22jBxKoba
Ulzl9VaefLM6/MpT/9dXobMF/XwZiNlI0CW8nNQkBB9vFkzHjK3RVW25DGaP0dFnp8HWoLmx1BZ/
bzQ1SozdqM55gXOe0ydLGWwi06sik2rFQfHmpz3j0W8o2i11U8xU8/NmVJSyxDtKCaNw3ukT0RTX
Yeco9nM0TW6L5x843+wDutTpM/Z4YkbjeZhLPQeDyT+7vgo5fn/9Sd+uSAPOqmaZBoAS/HPKoDef
VLESKIsxve5qle0wsGKGy+Qz5SrzViuUbLOE9YB+ymHyhoSAgh2C1d6kNykU2P1Nxwf+9WW9WQZQ
KjGnwd8d7ixbHGfCz8sArUM896U+7PMu6dK9wmC5ulK0JcRBLgrtWzgCRk5PEynuoXb7Ivzdk/GG
AcgFeJ6jqoxsoHmyg725Lbhw4tPK+bPXlFrrjsyrM93P59n6auqjmh0jI2m7UxOjQfGRgtHUhmml
+m2RJdZll2v9eBO2eVwdyJzP5mSbodz6RCU1Lb/hab4ZLRkka5MiZnJoQj7mkRFb3w9gp+Oi5iLO
vCNkRbHdvdam2IGSYNS2xyLvsoeC+cb0m4f0b4vGhRYJ8ZZzBz9n+2+k4y4zJuHO0O/7clHd20Fd
YrxDk1Sx7syoHZc9N6AMHwa3N0GZGsz2jnVjma2PSVtg6r9ZLG8C4dlMbbZTIuUIhbUt2LjiHv1w
D6DSjuloZO1+ISL4ziX5Xdv1hI/ml0uOyecBMuJwb1cIli9y1KYb20v6+5zqzt5ErrN8GvM0sF89
BMZHvSW3a2famYZjOD2h6UdjZUzYHzvY4xohjdW/dzaJi9cYPum6Z1G5wLf9+eK1uTZHr2ybPS7h
7nCfjlPiBMCYkwHba+r0p2W2l+luqLDy/DYOTUkvn7rW668fuPMT9cPGKy6Dp58VT36Ay07z5jLM
zkTLxHO+j1FnX02pod334I7uhqRYdIPktmIpvMvw369uYPwl4bVFYlizxUr/f1N3XstxG+vavpV1
A1iFRiOeTmIUKZEiZekEJVkUcuhGxtX/T3PGXubYJf1rH+yq7QOzSJEDoNHhC2+Y54tKkdH+AJXQ
4X70izs7X4rcGTID1IAc23PZrs72AmMvkDuR3x4oiI7DNb39KdgmJcjpHZIVbbWzvH6RF6VK62GL
TiRS472Hk8ehzN0y+Ih4dUyhv4Ka9FgCAfTuZzv0intmdtX9wt/w9V7ORpENC3cKws0AnMvZvQ6o
2S9BHw6Htguqpz4YwGwtpcZMIBVdW1xXQgy4EkGcoDERT95W0n9ILp12UOJTsEhEeyp0MvGWqqbp
QBs+PQSTGOZ9Eotq67pqrWH3YfGOfc4akGv72Xw9V+34gMS1ivYqCwdIplBcrzOSZHSzRyQ88ncR
yP+O8tecqMdAQgPc+K3LFYK64a9ELteeNtmfgf0/RKhmvpyNRAjAgf/4H4vS7PB/WZMJ8YtuQ2Qo
ZrEu2Qcb4VxqgL1W3nvJy1MAd73s1kjpPP0PLkzjzQfbFxJtmaP9LxfuwyapxlFi9ovD3bSLvE5d
eJGfpAe7qtVwjSMKwrhlJ/r+/udXPosyzRIKAwIHWAGeRzvGTOS/XDnAhzhGEHI4VOnqzY+oYgef
ollXLytFyegz8vGJg6NdW4hdxVG8onqpy+IXy+Ufxp1wBbSbT45uk0i9vYlGlolrYZdwKDNbdQc1
zBQ2LU/kkIA8kUwfWugcO+BUSfKLk+ifrkzt0DMnkc3Ynx2ZQuGMEYZtj6+jGHwIW3EV/+hY09us
m7BoBxWFhOC+BeL5q/PorPloRp4ED6M5mrRQoeTZAYDMyVDPS4S2AiYJ9i7xu9nkPyK61u1QXUS2
lYvdiptLc0iwKygv6P749ZbDMu5uIFcxOD+fCv80FihQRSRmLv3j87eAjHIL9mHq2Aea2rsFTNq+
lGEV3dIRsNqXUc/+9RrO6fCLt38eN4UmQ41sohbDyGYLevv2V2rgrfY4CT3I6lQT5zr8qFun+4im
J5XEYlItxgcoiqxIk/tWvv/5Y5+npbwIQ4ghLmABOMSTZ6s+W0WmnbXtjDVACZs+qdW4H4sgC3Zu
TlNH2IUN0Dp3WtScVOhZ982MXwwtzXW6luxD92OPahQ1NKU71B+60T/8/Bb//mbM8IDIhkwS8uXs
DgcdDkjgpNxhli3zrij8cPmN4qN1RUVPdL+hFC0zYEqj/sWr+aexIVUXgD/YH6hgnK1Mt6KzQ9NT
H1pJ6XRAf3bZ4V1AndMHj1TuareePxVRLzugraV/M0R+feuLxPlgV/46JBRxgdbeeqjNfnVoVIe/
OLz+IaqLTEjHnRHvkp+eHV4Ysa2gUmN16NFY+R1oSq7hgUAo2S8wkvwt+qX554wX/yAXkV+VyDCO
W9o1q/rFUP19I41MLgKNjwoQW/jZjTg9fYO2rfQBUEFqMZcr5HzxFHGsqxrGfrZbJri0qDbm3dRe
J06c7vGrT+TDz6eKMEfF2zOMiNIVJg81s+V8W4nafPFUZGHs7DdrtVPFINd9PpYxitpRNYa7AF/C
b42aqmBj2WP8GQaLFR+WsqzfFegM5hfM+fppqlBm+NWWZ8bg7N6wEqdTiUAAOIfze0ubagD2vqoD
0Ygv9xBqy1vLXhCxtu3khtACJnKf109WEy7tzoOI6WyS3KtRN56qF52p5VfuyuJvmw8JUyTAXhOJ
u5Tjzjaf2R4bLBMYLmSDpN5MXYP5U9ShNQmQJvGx5Qndi6H0s2/hVM7vkImhG+L7Nul7DQgqJITr
Gb6RzVltmxn60AZZ12XfAz2A2lNV9mEYnCj+xV59Dl1BbVLAvHp90z6ua+fVIQdsdc55UB7cycet
HPGcqcqejtLn7KVL8NDPmEF872VSF1/1lIfp+1piKvgZnWp6TQ6QXKDUv5h8fzvTAuJwaGgeCiAS
aO3ZRgUSt7WkX2WHzm4aLKTmrhzIsy1Hhdm9E5ehfz1QqrY43RfiwueyWYPxYZ0GPJH3QdWgH3mY
XRce9s9v7BWs+GbmUVDlpMWFjbcNu/5sH6OdRl/GteM9BswaEz1JRkflUyZjMSHDHIyIdTQOjqGY
F0F7KL7SipuoHhxpU0NLRf9rbrdUNPLCLu74u9m7bBEU7G9bVG7d68UltUAaHN37+dKNutz+7vuh
4lKqC43j7M8f6G8nAggWagwcmMC8fFbT2zMTNcGM4q0dIevHxx+abLCbG6vH7WGPK4HOaNTTjJq3
Q0BP/+bn1wZs+HYdw9aEOsp+K9hmCBjOcZKxo2fJZpJfLAAS8uh+BrXBYEWTZRRrcnKsxtrOVkQb
8gumS24wXiEnveJcsqx5fe+rye8/T681o1x21JxSd5yYJ2JIDUx7yMpmDreWPSd2fmlDvp+HC9uz
B6u9dAr27ue5npv8hwxAXnxM0EPzPueK8zjeUCX1H3Gw8POQG7DVEm5FRSoWP+Jhgc3h9qjlJBeu
0OyiojQkw24FvxLtQZlp+vJ+0fOxgFx0jk1aFkRGmGuqGlu1BwTuVRld0OYs+PNl0QXFLfZLc2ko
eBnfhbWKO/SLgshMJkFeBX4+i/CA+prjN0V9CuqYqYnNuZtQLJRx0oEnT3KrZbJQwa/9+aHC9nOa
d21nj8uXoeqW/pNosPusr12f4hKb+Fjz/Z4mHQre6A9ZKNFvExiauKmzk7vudkLqnseoVC1Ncpla
RQeOp4gZud0wgnopt23hd/6dhiFpfkZ6J7zLEHxYt14B8VmD5BAw2HN5byG0PMkPViQT+sAnsfjW
d1HaVnCnvdYz7ycjs7uZoEjV+r0tRqLnu9PdZoqJJA7rOgfU4PJ58Lx045N3I2Gy0oVDMXih1BJs
wxUKHHDt2utYnbFuBI/MNCqRN0JngRqjl0VjZ8F3dEhNDwn8lmS4RvNYMvFSqqIM/SzxJY/2J4tq
JPbWgYxf9zzxmEJMeKZk0LHCC7/Nf0TJ0T39tPabCYGnbQGDjyGJa2UW8Om7hrYcAxSg7PPKF1FR
8+wkTuk9hB0qQs9QanR/hwxH8sOnNdA9YaIy0Wke0VC4bcVcDXhL0jyObahISPAP+PFGKe9yKCxz
0TmFkELrNK6Dr67yFK4xS2YqmLNazNvSQ8FOLsra9p58h8Lroc2WcdoNaH4Nz+jW5Nxyebzz1KV+
+zXAZBNgHt19Qo4PrTNZRXTRW7bo4k0+rMByd2IOQlZF39hmn3b7hMLRJgwT5d9FEeZc8soBf0TF
FNKadKJr262jvnznNFEsN6iB6A51I2DCzc3S4xmQbfDtnbr38Kzxl9pnmd2HNt4h4zrfKkzd0UOj
8odGKeLKnjUiogoDquHFUezFSrTmZPk4LXAHnoUWI1C7vmEH2nQoAc3zJnDWRn5ZG3gJ/TZnLRH0
ztC5inWbt+NUDdckSzzjIVAZisw7m+xrfKCXnrDH156CYdBCUmCsoZ0xD4CEml9zFZOHSo3rNaJ9
H4psZQpiS+LzQ+FmCSzMzEeKyLoDDIV3yYqmGKOU1QBmacAnPZMtAO3IKoYQ8aq8N841w9lZUZH/
OK4y2Y/mj1ySZ9atswJHyh6R+xRWBKexNjZ9WPtyn16aLawVthjz0jM31mZba6A//sg1xqC/CSvW
6jJaXXf8gn62hxVLCoo2uswxLo8faiTbKRke6UkliBTnxZ5HiHIbYAdmXcxey96Z0EhA2iYDhwDe
oq1Gc9pNSQh5Z0BXWn5AA05nz60z2MWFUBSNQ3weqTAuiOk3S/7IDjhGDyiLr/wL1MUV9Q4AYk5z
GytyILU9vafVaw276KQtW80jB/7xgVGwCXDa8jIxRe8wZlD0/0q3HX4PQEgMn3SRZAFqnnKiMYhc
UT0DzVJNu9Z7MbVDu3fxpLG+Y6CirHcCf9WiPtA2DPWHvovK/NIHjZnam9QaGkSOhtW6KfohGdNd
WOayuoR+0kZ3+IALellIkOJuo0vLmsDdtlmcPLuJNkxgvAQo1J6WhITx92dPg/GrHQv5HCeZn7A/
R9tss6ZaN8XOWbRZR1M/4HWmQCTwTdwkpueD4bc5KsMRicWbHpfs4qvEh45pONeD8q6SovOW8YBx
VRU99Mrt+FNaLzPvlCq96WsgWGOkiSuvb4Alx1jlVAMby9r7lJID1dxKgMvZLRO2Vld6xu9xI0RJ
5QYhuSYMrxFGD1nQCHDR9cVuBns8uWm7HtjfXnIWAWSpI7eDCnY62AgugCJfpK3sko4ypRbp+xJ0
2/RtXcGJIUBzjJVcgaVPDe/p9SwHlPOqWom/iFlcy2JUK1n7pkN0On7ztDGBwumQcGIP4Y2tFq4J
l46BF+bw5rzCPkbxZ0Hvm028GsC1xxt7FeYszjGVYUXVU2fOT/wQMl5X2ce5GSo3MEv/dOo10sni
YUt/N86cP3p1voXtd7ML/FlHFlYIkxNsbUYdnK93bBKV9fT6yViWMewRKmJ8JMg4wWusw9BiLPPS
JojpqwmU6s6rS94ToNacJYuuXNolD2DH11I/5VasLH872UWjDqloCkzgtNtNrEqFKhm7rXuMS+mP
zzwwZNaoxl2ENRjK6zzm++am75Vmg5iRwucPEBsw8YDdezS9tnYMppRd/cgGL4LKzBviGiPrnNWu
b8370SleW3nHK+BAULvIzS4UHex9lZXmAPWSqijsiwi9joTMEOVB3kulPF/1T6imW235rPVgNqsI
61Q7/5I6eE4UG7UG8DzQRUOvoUF1wluXCbX0oXJCzd449maay0ZAP7nooK8zLxqJQoi4O9GJbFwh
eAoi6pKBbJnSLsaPSJaI944qUSn5utZKanGPKkLBUGCX6eGahOgZjig9OMDeJvYDMCPG15Gq08Bc
Py2xQfuSWX6nyudTWCCyIuu/td0SDk+LJSWLEb8loLlzXpKSgkDrzTaMeERmbrp1TUwoDUKiRwXV
hdl5l+Upx342ND2D3EPN5nWcYo/M0Q2/j0ioeUg88oiIHyet/PFBhwp37OsxQiwJ8cXSfCBwe6jy
N94wNCwi0ATWTGgFSL0D7ehs2DBQB102jozMrPDs2jQvM9SkuLXTRwQVwW5zpVuEnrI7T3aGhb2k
XcUSsVTa8DGiydwg3DUyV3p81xznc40bl5nPqJ2Zc+kICEFmwue2ZCWJA7BUer0caAg+sqD0QbsE
/lyd/9AdqnDOjggfAquZIeYx8xIG+AoadSicG/jFXYboi41HY7W3JJjSO+L+JnsORkvXv0Up7gIv
QcT1toOobbe/iAKAz79hIYRqF9WSAgU1tFQr3Y6XAlYTT1yViPmzcIg8dzmtnuJTntrKICWrbAXj
kqpXof2sw5bnPTrN6/JJ1Y1EXW7Q6aqx6NMF6jq7UfFm5LsUsWfgrkXkNUi2YWRrjcOeCR2m5dOc
LGj8PVWrrpS/RZ68HOZdUMQGOaiwA5z3aqbJhLcYgJFFISfIhHrP53qULtK+dOrvuD2M2A2q1Flj
5OL6rgDb348hzqMPIaAcuzyA9wN0f++i5h4OF+2IoBebXZZ4HzDrDev+sog6c307Mbz5vbIa851b
itYFHL8UlbWvHGeo7luweXZ4Oas+7NbrMFj6WtKPR+Yd49EOReN4qzBJUuJAbzBeOCPrvMkvZ8S6
uLdU1SATsk00r4LuTyXT2sIiekYOERscprfZ8XKoyQ/xMWo+bdlt5mCDtCO2sUp2YrC1ZpaOfiTw
tgvzJf/ada0HmbuKO5WIfU86VD0iqNoC2fSKMkGm24ME+wn3dvidKHCWgd9v8HUV1QJSvJx8mO4Q
qY2Daeu19jbEiKkPP4WrYN742CF2Do11kSHQ5w0mXEXjyKRt8njI5cZRC8R1viw8gjz+Sm0nLrIW
XbVa8GJoxZqkjASkY8s45qaers1nuZ0N6kHXHqs3r5GRnt/H8WxErP044khnohBMrq/pSR7lr+dC
yd/coN9hznq5UBaRKDaaTNcB08xo4t07DtkuQqegmQ8UfuM8uzttF4Awak6EAQIEGwWBXwzfcAs6
3Ev1bVd1KK89kCfGo9j4BUZRCPeLzOQrOhjN1r50lokxc5TmqfCgQMhKZb8K2NnTyXPi/ku8+D7s
DaTWX2PSuDLDcsJLoGBMmiWT0Gx4yHIEnBlIJPGEUTsYWi64dQMWySurrcdDMbi5Li59v02X8CIC
VWbMXO1afZC9VNCZsoFhY9dg1nh2XDicq6Kd6VSfjnF4nDN7JEaer+NyTGPQ806EQtfH7+qd7kDQ
bukQ9exsyOIxy7ZrGq38lWwAcV06x205I24lQToGzn0SUbLRoKTZI2u8g9jPquOWh91iRDxzOlxP
kg1FaFlltqmTiooKovCvOjrtMfLJeuif4EtRyGKUnTAxm2p/DNeTuDLpYEO3xiQUYMY9+vXSlBrE
bIiWFyHoeA6IsBMm0LKVs+pmX2ZWlN5M7RIvzpfFiuZpvfAY4HnaMUPC6NF2Vd8kuxoxr+QFdn8f
P2IZoYrLNUstOBVjbo3YWUfMn8pFLl25yxavwFboS0p0RfhCmcD+qJpYzV/SSRocVJrwGi9c7MDa
KwcU7PLcxkU1bVd/letF0vZy/UhotSrromsib86uFwrNKtvpolmL51mh6vXZiStR7xEawLqF4jLE
+m6TiKHDNxv5mKF5yCq1+qgElzILL6l7WxAwonVZin3fzO5XDD5n58qqe5V/y3tH0E1Au/cC6Wjw
s9c4lI3+1dqP1vhY0ZGL76GumHXZ1ZijRVA1CPB+xNjtJhHoaki2OxfIik/OUhatEQ5kx8IDvmpR
M95xTLpx9s6kZvGFLea+rqmRMXIEj4FPmxdzJVuUt16quvXbKeM6RdmEASbqORYJjvmKJWNz4LpD
SlaZRC0BfIDVh4VoaTMAoNumbR0wKZEfNol6wvM2u+P8R/PcfJpzXFXzslJuRA0fk+aLDPBl8fWY
chfxakLNU5x7WhKBN5qwWiGLwqy1IEfbnykboJo6LhlWEotr3vthlWE7LUjzDujwbFBznEY2bQdH
NJSA+vEUjpjQOsuV2S26YtX5LeIXYY4zNa7v7aay7Ka6DsYVPv9uSWazZZzUFSwSBC4fgfdm8Rew
REwyE9ukkq0qBCwAexA4ogEF4A03RlQ1Zs0UGU7pP9iXSrYuTDhFtC/UnM1wRpp5Kj+ypLCb2gB1
1DZsLw+kyFXsLtV0xwtsp7ukaMIVt3FbrjblE1+t9h705dy9yCgauhdiiSH/loZK5c/oSdpMw04v
ff6tz5EuQicUolIHjS/wtTsga22bfAqBYIN7WhHSXr60CEBxvzPUFP8lB0KSoUrVIZBCsr7YZhPE
JNLs30072oJZ/lo8CujlNzjr1iAc802BibtpCKjZZiPVRAzERirz+AZzde3f4TRlToJZODWv6rSH
seJCyhNpN0oinAz5Y1ysCi+O8o3wtFVW7xGfUbww/3gODbasuJ3yGM5rW5psI14CY40YIa68PnuW
w6LYtSwJd939cUibohPD3hRmDhTCowziT87g64sFDa4MTSimjnOLDIOZfJmyG47vaiCijjdOh6tR
dqH8tuu4GJ29Rm1nOBowDpDijZmY8wk8SBG4jKh5VAuTp0HvO4o2zhAVbbRbjjWAyq6pmOAbRxJt
wWRbbpDbckN/C8MGqVc4lKP9aW0zhMoAWrb+XZC1DsOGnUcyfQT0P4wfT2eqDbOOtSgngJ5oFCP7
u3zDAV6JYS8Bc5lBAxTPWE/0RXhsQm4zTHE6W+zMls0qhw2DKEi75Qg0p6YWztJzakqXYvA2sJyK
wbAzLboeFuJcDvV+jmRsdfzBgETczQnaSDPWRBoUIApuSJ9qedRhiRz6PjDL/pQsJmPckVJUg49P
1oa0Mpy9XaZGBI1ZoIuPLRJMtJAwGfdithPdeQiibADBUBG7zBwE7RBW6qXvwdfQTZg4m2LMzZc6
bLgninkKCxDmUAq3dqMBcPAICVRCAvwKrhHJSiPNN0j1w2F4lwXZWPVquxwralkxBvKWcW/au7Kn
3veCInsCDcQT83rnps405lsZoVDrfHrtKPyvcQreCAT8HyL7OwGdlT8BSkZM4A3b//HrNwBM/+H5
v/76iXXgS0j7LlxxENAA8aAd/Mk6MP/k8aPISHcID5Dsn6wDEfybbiEkdRfZU+kLSff4xDow/yTo
kNk00YMAbdTgv6EdnPdVPSCe6Mva4FBfe72e6RT+BVcEndcPVmbxbu0j6wJhxkup6mgTDtMPhOI3
3fTRZ5va5nL6nVDvKhKZfWWt7R31AFLUVd9CtnXeSVseoHS577z+838/5f7/xCPuxxcUr/TLv959
bbt/HYb6+9ce0Yb/A1oS4Hh+Nr2e6qx/+f6vx/5r/9K9mWfm7/6YZ/6/I/CLQFSBEtAJNDyVI7uF
FuC/PeEw++hLeC44sj+nWSD+Da4Jryawlvhn/meOhf8GXQR0PxJOgNiK81/NMTNZ/wInMFcEhArs
EEQvqKXwHBZTilzXYiq8l1DEpgjvHKs0dovi5rOHfGLx1bW0MZJWS7e4OyIYL0WlvIntb0mtXXbo
xpmL4DpKvWXYQbWr1SV9zbJ7h9BUa0ErKKiWf/MoDnPUWiRNsBETWC7iJZibZXgoUzpaBG9eG/9+
rJYkx3oqFBH4wlu39XR1nwq7n+pdUnq6aDcNMIfqViAwxi0nFRbwNzTjydEgKZgT+i+v9P2xxf1X
ZYm3jWIAxmwDYIx9ABW8Pjoab9chDbzMkCbDF6KxOleXfeWW7iW6j50OLtcugXyzXbO2zH6Upiwa
/wK5dAbR5foBLCcQZeCreFN/Y2vgpBt2YHey7yc5tP6ogxdFjoXGl57RQsTK8ugxZ7nsAPX7yZWm
qowmFU3H696Hz42SfmMKf3eRF5pK8M/HyGA8/gMOAPUhjQY2U4gNEHTAuSoyLHPLSbW0vvuWRngL
pcIgCRRCd24vbYpFiA1+KUhe+6ufX/fs3ZjrGtCJY0BnaH6cXxdNV4yeLBl+N8RmNBzQBC2731I3
djB7oHIxZPc1Ncm+36RpA+boF2iNt4gl89iBGxJfQXTiuGANvZ0aAG4p3iIy+d2iK6vk1puAesPY
MKKxzZoF5V1miUYASlTL8Fh0to2rUZeS2dm/uBN2hLcvgGgZ8oQ5NHxGQxrc0F8Oi97P7Hwp6vj3
OFqJTC4wJqZ2sbeQUkUObAn1zFv5+dj//eGBGiL3DnQ8wk35HBCSBmlc5outv6MsySo/LMJfRXFA
Lg9i6z4LY9f/omFzOAhy+pyXXzDAHXW0H7PGbqdfTIQz0BavwotoRr4uVNR2IFq9HYAkWnOy/976
lmY6qKzLGcIIpoukaWnXbIeJJBlEKjgAp93MEYcu2muYeQyPFY6yC2qNQtePUZUatW3lNdoBQZDV
3befj9lbrBSsFiFRySc+oA0rWC1ne8kwxdDdEQv+RjNdMwnsoaDevrfnSaIiO4O9sB5btB7Moumn
xnyBcjT8t4MljBIRNhmQ0mA1/g36FCqn65fOb77RaHntvrB7EduPi91jknfs0WFyRWcNNLPpmGlg
eQbaYFEzoUuRstuanf8V7QN9sBxv3Llom+oX28oZxcOMF4MEUAYzR94wcJ+3bxWMTN1imSS/dTF1
/ArVuq4tqQ6vfdbW2+nY1reCylTVmkVV5A9hsS7WIw2n+KqLdJnDAVhXSolQQExH+VTIGuh6lA9Q
mJO12p66Ao6VG3zIKbek0msauj9//2egM3YqUMER0vnAZT3iu3PdfmYm0Nh6bL8EXuOh3t5CSmAq
xshkGrHQNTCapGSkr7tnObj82/C6nbQiNm5K80T2AjJxwlDkVwvaPd/FcU4hGPEiAfnplWD0drQL
8s8qTpv2S6tZRWqPBVrovnNESm9HdoMpcUa4vmB/mc4L8gJDqieVbtnwJ/8hUWtsXeoKwO+ztgZg
MWHmmwBhdkdT7Svg7fF6mg7zm2KzjBRlHlqAFdR9S99AyE78PirbJsFs6si0x46uoWE1m5qJ9PKF
L91qm4IWXH9s9fxgMB2dYk4yAgz1enk0uQ0yLzw2GhuCB+48s2oTG2CoQ1Vz7mjttodoBCPxSDd+
7W/JPmPQpvTIHCM7gcPJZeJyuH6uwzp2n0d7FEyyYy14pBlCYvjzuXG+hTP6oCcRFpNQmTw8Ld6O
voyXOiGxL79Qs++08ROxg7ZDVCRvyisQSBMbxc+veL4bkQ3BTIVbTVTK2X1+xU7bNLRxr/os18FM
xmlwzfbndAEq8Ad/pF/5BfWIlUlItaPvkndgd42M+89vw4Szbw4vCQDPoaHkeI4NQPsc1LpSC1FW
5FfPlQt5TW56pAGsF/SXjH0ssjG12Os4aLL3lIIMEqJNvSbZJ2HvoFQONwOPKChmibop49B/nKUu
w4X8SFA271GQyrbIUs3NDZOIbkluU9FsNy6VGLPYU5t52IxYf8srqGymO16MEA7uoQ0EuLnKQkuq
dj9/4vN9LaRaDBzdPDVPK8kJ3r5r5IrSelJd8DQOtUGU0Ch3CGLH1cxblyDLvUzFq3ndfGwaJcf6
I7IHpncuhxw55ceYoij36yjU8ClvtI4BCKBFb2okqhxbyk4riv6suniqTOlcLCHQPx0IFB5+MXvP
jDGgx0PzNrmq7/EGAaOdbdWKtBPZ8Np5CvtUsrb6NjE30FvS4KKO6xgimmkJn2pI7JVmS9EtRqFf
rVQQxosZ80u1oX8CvKyMcopdppPNj9QyYY9FLZ7fylJpHvEIcCisQMtDG+pRdtuF84LH/fnbIqd6
Mz95NPDNLpRQGB0erMuzR+vnQgTl0CxPJ7Ar5UCmFuXCrPm9t8PCMVIiDWDcwKnN+VhZjeCFzH5V
UhZbK1/0CfU4a5ieiFIN8mIKcsnsk+NK1lLTyWCKuVNpukLdwLb5R62qJyLhfdM+sdnkyLFMa6xK
XIbiVBnDdi5nSaSRY7CWx/ExW2FBXeTPusk/ZEFnazQkXCC6Qn4Q2DRUivNQF70a119w0vk4VkHD
7nAMb500nJFzJ7PEAuBX28LZcWQuCbwMpizHEtyE88QLeg4hZDsHH7tBMEMocBrZYM5+xsfNW7fx
9vFkwSRBA16aAl85xrQNkOA0+/2k8RR9H1DNjXEs6V0KxWQhDvCBsuG35grAAwjvmoPq9NoSNRnj
ihn/TdYKq8i8jgSnGYb+pKEbLXlEwbmpGu7EKwqy5MLvTZ7689F2X/lqf8moeHhzCLBJCENF+FtG
RTjYWYk9Lx/TdPGRHOtfHRnjyY7zO99ZXb3sVar9FkwZHFNsHDXlcnUNvFbO3qYl2rFudGKMH2MY
KEhZTc2c/I4cj305YV3g7wpIgOV3Ny9X/VCBvNJfp1eHSXcUxm4yzOvIa+l1S7cbDhOeeOOdVmkM
/8Kv7ErcSluLCH02o66Xz5R/YrQDQkVdNj2aXSZzMbIYxlUbI0zkeXOj4eWIwX2kdUrPZWtDUpvo
1kdTKmLiN4CAV30KObDcBojsrCtpLVOxvZqLJR426tWvEwGyRIJgsOb14+Q3TvY8uGUS76TbO2JL
v83Yf/oJCLYdCO+poHZcJpdQKdCvfzUORYPLti/EJFLnkFhdmNr7lm6M+7R4Y1JYT1Fjz/PHuZ9l
/46eTW09cGIEw3dP+75+Am2f1FijNI1Iuw/0+cviIoYYOx/Wxg0rDLwLUFLpNtBrh/SuqPKw/p4e
DVeZKrivRsYxzd4W5dSJ/BKpHYVZK3mAsW6NK6sANyoCC8vV0W+R8Elf0rCWPaM8Q8HS7rtVNiNT
ehXIeaZ/aEHXtdu2yCcAJ0pLGhG4wCdwVpIeW5jJA9KVHWK3mgbvIa4dqa783E2T8MBc8VFUbsfV
WA+VSIRMEfVu10fxO431mi9XtCetNLuY6I/7DSZ5E9aAu9H0dX/DEZUe4BWTY7Li7SQJW8AKtcC7
ok2/0DD1743SLl/64w+tLCv5t5Pb99p02KqsgzLyz7mvWyPNPltWEGyX3MNP4eIkyeu5ozkXbc/K
eJxEehwqXzHbhPaNES5qQsn9MrVTG7zPYyufSuxwpeW0V8WwROF47+cSzPNGRZGJqgPde2nxHCQA
BNcbvEUAVNAvUGzZ79i1Verd0KbUQXkrMpWJ8j1ywHkY76ecjQCFz0wYW2G2LHNLy2iVtrO3k3TJ
1A5f9VyHNE1ty6t/A9lMM/NQ0XWNnoaEBhuItiBgZPGHzDhBtgifmA/h/glZNkpFJqan28bTb9tU
1NI/AGg1IybLvuBL06W99XgyeXGPGsPR1BtzgLUm3rjoI13xe+3xUVMMfvFwUjncNGxTcCLnahj4
kmTWIjOvB/gL9OpPopwFv4hIf04tyRqQNncurboIU/dFKRIadcCLlkhrOwG6DNQ2Q6JvAHneuIMa
niEcDbh90qlO1+YiRTNZzO/CPDC3nLkRfiOPPjOLK0j+SX2D4mEmmK/xZRuvjzZSZVSZoRlRgwnB
EPWhmrgHgwXGJeb0PFpL3B4ouKX8zJvbxn8sPOx70YfCxISPb4NUMBan2ROvHcDRXUAfk3+L++V1
MAZmDSYKxxg38tZXSwVpbHXQrtPW42moreOv/zHIx9+jUuAU7wKnrbgBcHbp+A3XljbTF1kNOW5G
lmeduVbiIBlgP5KAJ020oQ2ID++2WceeqUbmPejkqhbREmPcXaT0re4joByMEsDj0mhCt9TYNMqp
Mh6RV7MXE/QmleeYNRrQq/52kstvEHnlCdXxmQAUkKNtWzwCJmEESg3oyD6+2uP0wMC8ZHxwcOEv
9t7RT2L2l5R5mhzdmE6a+wim20H6tOJ8NPTXPKk0w3ucSOtAX5D425HmU6B+dlxHotXE7Or61Ny6
8zqg1joZC4ymlI0b7FEdrYv8aqXdMbcXCSIc/PUE+I81HYFBo/LRTbzfbAwcPD1wPmP6dB4RKw+v
R4Lde8TLjCEACiHmizsC82BE6B/zK9XqmWGqBzjf09NQIhyYHeok5HNTJUUiLws4XQL31eNcyXJc
noOL05ADJtfczoy+PB/CCdBw8bzNDL5gFOAx7CciNywosaSBJITzAPaUXNwDgUvK1JcttU2EZ03l
hteUDldBk5jlPHC+8rNiGSDUHAqCxXm5hmRBh/8Sor5docIauWU1bgCeUjYUkRj4/bRXHV8IGr3y
Ds8W/k9LnyKaZ0+CUpGill/ejUUfUxSYNGqvVyJFWPHZr2ODUIjhNzEz8JD1KRLP4IjYYUKdlkO4
L1GT5Fdmq4amd4U0hV7nz7Y/5+w3Jy+KUzk578tUY/eRluS7vy9u50p5idsDw3EhX1+xakJj/9zh
gB2vzzIN4RA9KTmlk38JFMU8OtrDHUMEc24teKIimTpv76+2Ma/rtWuGD1SimTXUq8wUP9ZPww5x
D3sjBsc8b59hyGttNBOc30fvwOM73LqpK0euU9AXo2Sx+NiWgN/hN9BXMDns6MGVezwVWTBUR3uR
9pTSsXOVxGrlM9Zj6S0mLadqSPe3oF6Kwy2pL7CkwhgtI+FOHnriA+B/Be4VcUb831Ej9KHdiDsw
3MbwnVwPTvolAvamVOCgJkstPi+BhXo3SETwlJ8nwrPYujYqnTq7iyTGfmguvbrTgImUfv/BpYy1
xPsZ+PWCnN/UwkXcUboQvrsJKAL5X9wE/iysIc5qXj6+VQg5ovtXmWOj8mIz5siw0lncHUcSIw4q
0TKzIZJdT6tXxcGHYh0mtOsJpqkqrK2K/C/st8wva2pXRgBirXmGuK1xezuQXpoqFVgfU82lv9NM
7Zf/x96ZbNdtpNn6VWrVHLnQN4Ma1MHp2IoiRVrSBEuUZPRAoAl0T19fEHBapH2lylt3dFflwHLK
5DnoIhDx/3t/2w1mqCrP9lS4xa2LRH2OjrYJfl37fUyNbIoOvNFIboD7TP1bIzTd8NonKpJj3n/Q
4yYDRRA5M+msUCxY2zTfAJINjfmpi3xKE6c2Rx0awM0kA+dpsaUJ1kLydpjY7BtGzZoSAkWAX5On
vMwCEEv8peYNO2+kM0W8/Xom671sREaBOHQcS0kNopfpZsuGCeZYzSas/tXgTbtS/QSxrFyzKDPV
3zmGrvETBLGqH4wsqhPlgZ276m2kRSQYyuRh99Ht0s+GOGQMVDUqg1L9l+2RZU3JTAT+Tv2ntR6u
plMtDttpbsmNN8xW9+9kgt6e+DU05dzoeYlILh3XgO5YW1Q5sFM+/AatZqcypZDjaA8wXDhY6pbq
yHOs2gyK9YucliTMBwiI3Ox1x4bZYfGg6FZC2lBnXiYsJLnqkxu60TwNWtGoImTXIvix92VcIoFD
2OqSdUDCm+Cc+5Eu3kCAbczLHQLWxHcQUagOS74MOOhVvEfw80k1yAV5kgzJCnIjz6QXLcTtYdLp
qrI8JFnBaDyuF4Q6sJr0cnJH+Vy7M7TsKjEt6LK/KHy92dArID/9Vmh+TG4upP83G/qkd1mc5sJ8
SAhi4qi9OJ4YDSN2kNtGs9UIKgYKL8luSBt17L/Y3b2uJ6ivh1eIjABgiMH3v+kCtJIo57HzKFWt
U2NGDVhdf7o7xS+IgW+aNIwmHXs230XJin++hZOMft4o4lz1xzOi47qsw0ZEtv2OJAP1dGO2VzdV
phl3uLZbm1u2TY4/P+3XJQR0ETw/KjDXd2mH85ybr4tepF6gD2LoPQR01dzPKVwSpuiu8z2yl0l/
/uV1/usXmkFA4QBMCKQ7aC+vvzBPcHkUpR7dN2SduJ8xBgX9hYeSQpU1X0b2z0/wLUqBM6R2C7LI
MH0IjfbbQuYEeiiu+sK932YMEoZU0X52ya92sGUjwz1mIlra93K0wIOVslLzudUyNWjdYvM++sUR
vX7SueYBfVnFdwA+YVOie1NohFypjQCGmnuM42pQjazrGOOTBH0F9MkfUm4BTsqZkRlYvBxYWoCw
5Y9MWI1EJduwsz86pVWTyjcxtcwhU33DjzM+IuM2nS32k+G49rPEOs3+/CTe3kZunK1bukPHxADq
+bb0hA+PVIdJG27RIaqZaXlZCInOqeT7WQM29gsK3N99n6NzI9X/EEi/uWYern9usC5vt9feFCfk
zuu4QlC8tV0a/0ulNZI8DJhqVBaZuBmqf5kOyEugEj2kGa8btQpmkazuhpcXjItqTXn7+QVV88uf
tSXqswHtJ5sRiB7FpqL5ZvojVW6CR+/kZ2JT29wJvbL0rM9b8PC/+lXcOkAVcIHY6cPHej0Ey8gs
Z0lO1nldigwO1RGeIxNu8q9a4G96a3w6Co2AZjxXkX0AM+vr76r0PomySQRf9Ywy9TasoLmppWJr
lWo7OfoDiGG9tFvTwzRasAvcFYtudGFvVZP3mI06k+DPL8EmEfnhglPD5BIECHdeBANgi14fma7T
L/LSpDu1i4la9WCiQ+YWS902Zf17t1Q02kO4regTCaOIsHC7u96Je6O8YhWB/CwOcbpRkbo2bWoi
+l2J0y+uzzNrFqe+jaY0N6Y5JECuY/nUELodH1qQo1VzKAu5mJj2a93tyr3fOpQAr62JhGr3Llj7
jLBwBs16F1Wl0Uw3eZwMAVIeSXCLQa2GIFvrzAYILse+0DLBLL0tnDyNX0uI7BvVmoadg89LjAQ1
ptd1C5S/XM0xKYn0DNmyquXJOOCS1M7Ipdm/VKbkcrP0c6V3a5Epxgdo68xMRin1np0ufGNJMZAD
V1x2VQd7Mt27wisyufujFNPwOk922wLrZQjR8Ru5vpDV1eLCawYqXux5cteEQ1XzlWXObme41Omi
pHFYTKUCCNBnKLLi0WI5Hli37twj1b7IXF1TRYpuwCETbgFmwTh3VrNPcllSDqYy5NH92GVoyiGC
4paNR510AOAejnkXNIHwYL03pHU1H5wZJ3f9gT6I6rSxNtVN97bu4ee5H1JBFTze85wjczgmbWMY
WVgaLIZ/n9kSd/6l406j+dlwprn3bynnReJ9FQRZbh6yqkOSuxNMaBMO0B49t3moaoTE/h616dIS
Q6BRMRlIp8UG44ezPUfjNa4onGY72uRjyi4/IN04nNJEJxBDR8D67OplPpPpa7MRwHzkYTX8iKXf
1+TOX1uB2xzZ0KeP3Wu/5H2SHaukcKF6b+s/CvJqlzoTt8Yf66NRvKxSK6/I2Uq2AUodclJa3S0N
ZtgY8Ek4mXlu4pnShgBoOmLdB0GsKJHXqaPcTnE8Pjhz6mR79NfRKYXSf1Ya94uynYYzFZYaj7Rr
hsBuE1TQhLdQyx7aDxEP9dmOnbrbMfqS56wVxcdYT9GvBzgrUEoT28ImnFKXWTlXvtA/1znDEQur
ew2TXezRwyfcXV1rMUtP9iHD3ftuyYpeP7Cm6A/kU1oEp3du+TUR8gENqrjCaRdflUPXH5zOhimC
x/I8YHnYJ8Hov/dEAqQrFem3tGuiPUEvypNQVXuU7M2lv5jlccZ/2e7Iu7D5aH8mNC2rPKTZQ3fh
s098JsROntBjRN8akBynHP7lspuDzDkmmV4/CNSsyw4pckMohVXHj+O0+F9IJXMoMcjyw+ib6UE3
e/0SckmS7mpNs65tyodH3HbV9w425XuKmgCkk94Kvhm0oNhnGcK4H8wsSY/EWWgHoyv7+26wKYQw
Fey7eZKXVteS2eGUox9GXhAl/sd0MIP5AmWE/NqZdmbgdRKY++IU/PBuIN3pu987HnjHSGsvSxyF
zt42+uz9NFg5+7cSk2fXG00Y+Un9Rc86cT2BpbnqCBhQ9jgVuGPHw3g5scy+0b18gBtfa5dpbiXm
ngSP4psxjuBsl8U3EmLdhfYJStr4vdG0iZxNY/nSdVltonQQyBrxZ/PkJoUgIseoSTIUy5hPl66M
m3iHmSG9nQ2PiZitXjjggLMubR9cwmU7Ne0RvqN55RB1jnPNeXLG+asuo+jWNhg+QyeBPnoNeRnx
BKxkT+qEdbC9vrqFJ9x+mmEqHTOdtjv2IJmjzchDDz8jGQvSsr/QMYfiTxTsCRMI0BO97N9PRpW/
78iJJ1+o7+PHJpmbj+0E5HkHunwKIwMn3I6cmIJOsE8tkIE3JUtoT/54F5hdUoQVvqAvGeHzO5pP
5VNVp81OiMF4H9DcuBAwM0LZ6hE0xcr+0hHzcp3Rhxhoh+ANoRiFrF5CcZpjGV+7vgbNAt5B8KXF
eqjvYfmwjoJg3ty5o5sfmehdnAsY/8+9QW4E+iE0J2PSPpp1JU4DDMMTVAr3S2tFjyP798elwVt2
agROXhw48feZC3JK4G3KA8vT+aFvAwfZvt3QSc4JvtaTYbgg9UKcGtbHxi72uuAxgMr4jDHb+pC1
Uf08LMPyXfKA74mdMG+wEVonojnNfYMH9IF1LziDkdgire3yz4tKu7FI/0AxRpn7Npl1RT2amJH0
LPWpUzm5e0Y8HoWiq7JT7sj2Ec2ZxfEP5qWhV9Yxc63uE/XC5i4gKfhszEXwUJbtckUAZXOYPKZc
tudlelvZOmx3aROk1kXthxaw3VeVrQKCupmHWzw+DB5qbe8Mq5dXU+uNF1C0rZp6kl+dIiIT8PG6
KD8pxwQXi9ZG11GUtO/BTSSPPiWdT83i9x944cdnBpt3sxhaj7bKTY9FEDnXdN4JAevLoMDUOVcq
6Iss9yXW6ruc1sAd5hnRhChW9GM7ElMiemnHCuKzXLeBLa8QUGGL1sr6Q2wtAbnlMWZfy8v9s0Ev
MgRta7/zh9iiY9Bq37QIj7t+PTs20JRwhuBrAumRlNr9a3KxB68/6HWbE/xZBCK6HjUR31H9KW41
e67INmu/8DvAwvvUeOpKVjCZ9LLbKciQhTrCSC+DWpifpRbJMSySUb9BgiQfU3MYmlNiFpZN1Inh
XdlR3frYicsKWnviiz39ZXvZAUcf936wgHwj5wnmRmlF1W2toUO4mrXG41q7+ti3100w0IAygEaM
F5XdlO+sydbee1WQihBCQlIfkkC091mMcQRcRj0nV2Wa1+lewx6LUjOKDO3kDV233M8+EUXJSS09
9H3QkFpdk5wu6jHOL3NqBW0RGh4rl9ApZTTcUMXJutDCLfZhhFk143ctXJW2FRn70WCJeNVTIOif
gBUtPi4vQK09cIWdHlfInc5D73qXjjkR7vJhsebIHHbz1JAWcmky2ekXvk2n4tRAEYGWMnSOfAi0
OAeJZ8ZFAGNWi+IiDzU7mB5SCzXPzkzs4n09G9pyGtkAZ6HuNaZ+PQbZVIVmS3/hxiuYTvcI95Z9
TcXtMsOYGwJHyy97bZ667F0xay5hOlx+EEDlnvpRmSv1mCAk7R3exMwnqNzNXHDclexqxgOu0wYf
POjCg23IIrnOE5G5u7Ki/BwuPfbHnVXONKTgt+fnKgVZc4hHZ7zJU8q3+wxn3Vmlo/h76NOJR6ku
a42LPG7JqhPS8WAIjHTl3d7sbzUnmDDtZ0Td7Dw7tygRUkt8IvKn/TYELE2sVszmqcaMbh1iDJ8S
U7c7JeRHoxlAIoe3OHHvZzgUHgsz6c9pETKT9vwAdlg8fl+ZhBrfPSSiEDsHc9aEDa0k8yA5CHOq
HefG0AZXPtJkLqNz1vj2l3gYPi8LiTtxIj7jsXSyHduE8mFEc3KI/Kg94ZtudCYJt6Ut5y1XxWwW
t62VyiMxO0EoyEkSO/wtOnbG0ikf2qpw923rzjvpQ9PZtUNffu3jaDl6NemmTTxFN3Q+fT0k1HVs
9gTWTPZd0CXWg4ewqd2nAzUongceGBA66fjNUIFNoiGS4tB5XnwNLbV+kE3Xxwc5YfK6oJodA1ck
OeoCRGCzx/RXHPMmctgd68Yh6JP6Ko8c7cbMJ/vKFDRT67ijqR6wLdqbZjR8qaQnT8tkEm5HhEhR
7vVgaLqDgLF0i65x7C9EOxJ20436FDZ5nEFR6QaBD7CM0LYi1JQXncvJHTB3GQ9L1KbfyHgsmlNG
32/fMigJMZrz9pa3PC//1M3JhsxYX3AI0T1vnfQovQBjbSWSpyyNjc9UBKcjYqLgVBPGdfSEl91p
GaH3BK0lH/WqfCwyFGoxG7ejZ0bZp3okE2rnWHX9ydKj9lKCDZ1wrk2w2VKKtpeRMDnpWKfynk5D
yCbcepexLbkcRiP9mieW9zmPYuNjbljj9UBHee+IBsw/pewnmgJmruY0ghbhfTU3MHwUqovJUT2E
9lc7V5v0uSrVW3syu+eawOb0AMmRBi1F7tq9qJwqrcOuTaeeHthSU8T0xswIrYJ5ZOfiXHZuCtGZ
z0kCI2JnFhyDigtL/DDnc0PKcjwTySycC/LpTA/KGgLTlrVWHl+Wou5/E+zakjAXlqV/5sVL5B3w
nXE4Y2V3973ItHPaOOaj0jMcjYXoKbypmnjnOHgC5eALXg/sPI+1jFBp1ZFjXdNSbK/EjNiFXDiW
NNdTJ8VzbvZYajvKn8MuHYrpa9/DaT4xKNmnSZIJ7G8D3TT84tkwHKpssC4pnsdIudJpYTGPnPU7
CK4hOpZe0l/ZM/u3ncZypN8XIGucg9aUaJH1ZXCeCEcvPnlimMCkWR0hAVqj38rRMx7o+vkBaiXW
cMSDjElxgovXXzL7VeNhapIkYykXsPREXaLVt1YyGlpI+Bx6p7nUHXFoxYDzAaUMDxEh9WWSEc96
jAeXFk+Zh1nOIq09qG3sEEZzk5qsqa0qWj5WnSRvGczq2O3ZVUQ5U1oA/xR3pyHjYj5puplV9jtX
WpG/yzG1W18K5KxaFQ4aSI3oSCMvn/SbPKndOgjZbU+22MklKV+COUfdwUVNX80nCBmVuQ1TYJij
Mr+a/YiSDnwpNmDirhioWllgL2MZyGMrRZN+jOPcxsk/MlRo7+ASsipiY6aGaJ5jzFqtupCJ1Mrf
u6abBueQoMsi4Npp6AE+RLpJT+gkEHD1gBBmG9rOXYaxiftga8i4JLGPkt7EgPye0/9eaoGncx27
DG4Q2R6T89FpHTN5WIvImlCNECjHqmRrEgMnroIACxGtYOZx6heMw8X7FtuRPrkn9N4L460xuiD9
JAVovASrKQU4jZ1tlI0urwim4/6JJGyr8a+BA+vTLTmh+myHMAtkk58Wum7cLV55gEaeLV9WQ7l3
ip7YvitLcnrLDrOdaRJa5XRWGT1YPfwt9wCFIkmtS11KsDboo9KeNQ57h7g5CuFnzMdaj70cddSN
iciMpbsImDHngNzMHmRr2nskXyiq20CFNw2ResmCzM64mgi0PgiYnXVA7aCqSf9k6ecfIq2AqbHr
hwgOw86wm8A+ePNi2Sf6keWT8GXxqKH66XfQ73QSGSVj54AKpvymVzmrLFT5SZsfarcLkv3Qop+Z
dovZ0BRdXImzGPX/ZZDGw52DavdMfTq9BrtiKaSOvMmMeS4PwioRkQ0BDWqhFQ8ZXAjvomEJ5+2s
SsyEplZjXp3aXic0dsLwX2EaGvJvYgGtwdRqE4nm8h6Ve2AO832XaiMY/lErDqxA2SFGmXCcU+va
fbmPSn961pZomsUOxnpj3Pt5mjv7Ma2qr61OY520sYGtQbVoA7uRNjNAFrcIt84QEPLhW6xNquLC
itokcA2q1BH/2BBpOJwNH9GQ2ZAXGSnG3gEnfXcGpO59Io3FpmDpRWZchxQUU0iQszd3t6Xv6nJv
6o7sPyLJaGNujkD9F6I1aUD2SMNE70Rx6zZm5w1lt2EdfjPRCJzIms29AzGqxaUWdzUSe+lg+kDz
JyCbhCbpaGA5nYBWmdYnJ/wU3BhvikmWRvN3Bi/eZKGkYPa8IKTg2YiC9xIUAue5iKMLruRu5mbv
7YAUBMI06/G7hqiK4mEm4muNabj7zOZyTN57WdmqVReksTMrGPeytT0nfWaKtOaTNdjZfT1a0Q3y
zfhb3BpceX9cJmR0kaQysizptBOpPj7iDJd3Y1sknAL2OrrWwHGZTb0SE0XuwN2jfOiRu0dor0HR
gsgsNDu/jZaNv9HJO/tc2VmGbLJ1Hpooro+9Wekf3bYzCJtDH0mY9IJzoFug+fnOfIvX00z3puxA
PeFMR7gfpEMwXMRui2quq4Db7EhdmjjcoFCSDXbDIbSL2TzSuaL/iz857fYxSBKmXg0fRrrrhYfs
EaJcw6KgmrsbSwp5HZsGDGrdiQUgUIQnH8bJ61FD9yDedqgUvM92Cx91V7IAf9fAk612nW/71Y41
9UwCRB4FyGTyhqRYXugZijDKJXdLSQVgt7hCuId8QPi3t/QyPSzNxO/EDjI/5Cyl2A+W+H3sEgAm
UTeFY+/Mnzxmi+EKNkgr9kUz+PdAKEiv7TWH0CQNrdGlVZo1ZMLIJG67yD3kS9EMfsqIgitNS8zn
uUjzy0kT3R0awixEm2Z+wa0DMKDqoMeCIO+yNvRGG0aSHOesI0TT76ODTFK/YP5treIqM8zZOfbu
6DwBehfTLZWr3KIYUJfzrhCl8SkNUGLsSgQitzXKF/3gjc7MpiAwcVs0ke6Uh9LIkg85icBjyHuT
VR3r831itY2vrpv7brRGytCWWUe3flFaHxvUH/FukMUnqyvrjy18th35ttQeUXoi4CKw1A6K9lNM
SHPM2mrSwDYvxk0rsR111F0+V7HULtqMQb1v09x718u+vuydBg9K6+XX1AW8sxbp/hMV49TjMYjd
Z2Eu1mGy9e5+aGfzIu8gkYXZ4I9qtaaXSHoqSjxe1/nnDgKVu18CjYVTmQbTqXLMobjHxQuUhuIW
uIUO1G0D0enA8sW4gnqaoFkcjY9JNE8fg6g3dgJ8HpZOJz+UfkG4A5rHve3Y/aPPcv9k2JHxXMMQ
+6jzK85Om7hwWBE+4gXybybEBycxKCycL78gnO7vhNRnMj0hphqMg+UuiKEt8TTY5Yn3QUvSlN9Z
e99DNMNvX4+N2f6WUezY+xMbFchn1bKbYP89aX5hP2SJZZORQlX/QojKoEWHAjS3rK+zpPoPzFlQ
D2qfeUHl5bCnN4+76iM72roU963d1bbzrs+Shlm+I08QzVTb4MtGvDDNWdnQa6ARWr+zZyQ+82k0
8ZCAa6v1qU8udJmU2XKBwHzuH6N0Gp2vTkVm1zmr/bK3w8hudXK+/cGxx5bJK0dlQ68N3UaGW98F
n9bDsWXZ6AMRCdvcbfXpQkKqRBjompNzhOM9+p/dCgxPv2tEXkwF85iT6M6edR76ib02u3GM0AYQ
8oBMmmU8aq8ZjzaDBnm97SBRTUT9XW+02ev2NFoREB46MYK4oJOaxjkqJhiFBs0NnsGGNkicxYve
vB8s6KYpefGT27ZPtT9GQ7anQeyz78PKlE7ZbZbVnQSDQ4Czaxx0YcmueZYk5Boz0PkYuC79Zpsl
2W4RCTPDOcJnnQUhFWt1JrYLfrs4JfE0eM1vUosX09mlkQ8qBOp/5bkTrKGODfNVNndR4YYTwSfe
cPx5e+51h5yuIQoQwraV5oA2Oe7M1705SmV+r+Ne+F7WQnmbhlXjYjlVS6O8I5VYIkkb9EnDgJFm
tOh+cQCv283qABAKYN4NaAAjQ38LIk+dGW8UoNZv+XoA5ao8KfOg4InTavpiqyrgf2EhH2bx/T/+
/WuN9Kqd77/HrHt/pDIYXPp/el7+wgr5T6batCho3v/JC1G/8QfGwfwH6baOw2qemE3fCXhQVowD
abv/UPoS7HSYoenxKgv/FlJq+P8gpApJMV5pFEf4pH9EOZA1SMsa0yWGMKQ6/xIuROFAfuwxo9/w
+QxVx8ajxP9eP8dLOVABIxUaOiXpy7R5f4OGWhxmUX+tg/7ZT/33bASMc2Lm4rIbVLCITTLuD1fs
b1xCbxUwyn+unMW0k1T0JxqK10dhQ2H0/NG394hY9SvpD5dUpugfZR8mrbtKM7aLCMOLHQUfaFbl
ePrF978ezS/+dw9bPgFIlAk9Ah5ef38wt8Jg14RuzaZWsScJxgoFMdvvRMmkuIv0pS93lmYsFBFJ
uxP71GdzvkNiOB7HoqKAX46ps6O7EwisxFmydxsWlsBIsRcVQmwxZ//SUPz/BqJS9WnF2PlxAJmW
4/Mk/p9H3S2k4eTf/lNlj3x9NfS239xGn4oI9gzLYQiaiIABl/xz9BmwUnwD9gNKN4YeI/bPgGDI
Jp5lWNS9ULuoqb2rZZ/8x797/6A7TRfdZbi4DkG1/xJG5a2BlaMxTMR8HsfAETIOXz91f2JUBgHV
5UzXKYbKTIeI+LmD8wNGpY7jBmzUCz+l9Sb0abytFcrOnzuVo7DaUf+gpdDmxzi9QnKnF0SmLDUF
9niNSElSW7237ZVx9n+LRXkjt/knl4QaD0l96G2s1yf9P+CSVOagsI7GkCuxfexh4fDe//AQ/d1E
pAb6n9Mhzwo3mFnIU9E01vpY/AjEQP7wGnGwwusRJDfGhVAchvTvOAdNDd4WyFk25HThaKl1uQwb
z0j+dK6vuAOoPY1+z8IFE+HPj/xN0Io68sDi4bRARLhIEMw3D9OfzAPSFuFfm0WeD+VRl4gF46Ob
NQpWvZEPCmR/mC4aFX/+tPEPFnbOyxNrxAQb3d+hD5zFUH4JzDeg9Tf0weqJzGzqYuntf4t84Lxe
5ijyAe85g7FrU4TmgVEz9w+EEhTa7QoX6EZlzGZdp+MSXuECZr/AGGqLEmcn1jX+feUMYMjxwE4U
PC20EvlkzL/JC+9HoOuk6Pk/wA0o3jXOa4+opuz3KdJhDFp+ze1crco/QQ7o0JngGnQbkXAZFSF9
AxDkNlX0PpQv8wB9a8UszJH5LE+vaQTRC0dBWDESvHCjEZgvWL/FtjiIoOrgLMgX9OE6qcS6ys4R
L5TUVzCCpiW9Yj8t2a+RBC/P2o+jaHPmq6Qa5jXr7U1brEH+v3Hm4xjBNJOlQUpReF4v2WDYXPSp
IohlBxTT92gNvKS8APRUCIiVHLr91YrqRgWhHDmrM3x8iWHIX7n1Z1MZsCHJ/poD9Zcn2LdpOb/k
mQOE4t/UE/7DE0yNF5dCFaW/bSqwzaIklm5QTibbWZDdeRNmWv2gu3rPH7LAxeCdGp81yM3osNjo
9xS/erSIeW8os6U5OmrX0YDfVI4j/K4YrfxeKmcTYeHExZzdMlfytKiUMZu1HEEO31PEkvbDYfMH
QjExZ/AXVWDp+V3mDsrHZ42l8p0leu3mN1DR1ZdXGsMmPlCU0vnkCaAtXze7faEMagPNmDbs8iIa
kkPp4o1OTyVdfGym8G1pqJ3AxGee/4y6qCPFdLMG1utnMntEOAQbgu/56IoyK7++CMEG8t2w5Oos
J5C5HIRNIZvvU6hFfqQRhs5BaKj/+BFXL9Qm3JW6OvZUSnWRykwq8fLPJ9o3gD22ewFTElpYV9kB
6AG+mZFoSQdJO03NPQAjgRoQwyapqdzIaUy6mwidV2fccko59p0gj/pleQwSrZV0e/xat8cr2D3S
n+4607E45GQB0JWGU4netDz4VfVytwqc+cOlkI2jdHFNtvBh8JLUif/8dF6vfMHOs9gme5ZNJIsQ
A2bB66dzolBD23vsn7ansyxMbPNfKM8rlniRVhNGpZrkZnyGVpM1mIB+fgBvFwRscFgG8fZiQYbk
nKN4fQTIWIdmTC33UT0cOJ9i3CfVQD5DUSw2HZuREltM1oVXk/R32XTIFapDmacaEpedxbCI+vcW
qTa2fhdVEjr4r46PbdirNYFCF9DE593MDoV/vDlAEEY29WgrfnRpNs7RB/xFyiTW0+bldkRWATz0
EqKnejihl8Y88NuwGSlJde0ThTdl70zSWA0ivKpqsaB0By/PtpYw6NAyKuPq9hhvFlQXnT8/Mg5J
zUfbXUy28oHeVzaJe1SNKFVOA8wa5IdcoQla7+Yj3byo+N6VWn82a67f2bfheHsnKWoMv/M0q4EV
WEJ5MeFrKWdmufq4N7f15rbdTNftMDGDEMrlJy3G2kaqsQcecOZT/PVThgaeAuLYPlNQqMnu1Mif
SDTgL7fHeiPaM587zfNUdw1fHumllmr2rpsC5XOt3QqjKvOXMkFXPBz8HW4lrPD7qDBdYy/xDxXp
t6keav5TBQyYeUaj/c692JyXreGq640qTX0iA0tyJOSUqHbbNutEY4T7aHOIr7ZTUm5JH3mYmr7A
cRe5o3IeT0ZjcDgzjTLnN4EiqhNHoqf6OTks6zVctHxRM+T6ZSMtDU7KR/nKaa/+VHs18pbryayu
Kir9Nr8FlvDFOLoa6culqLjRWbW4Fm5sWO4dF/LF7r56XN2sV7667QNxNBN+8U719/gtK4LyS6hP
QY+v3Il1Ot2OQ9aNehIiGzOd9jhoDhGZexf422Cd8gRlLo+Vz9oC33VLV7gHbmzW6ukyTIJQyHYx
leXm5+PKeeMx8nBkAKtgp8V0CjPaZr/343sRD182LriAn4I2n7hmm0tXa4i7xWw85Mp3PVaZcmHX
FZJ1CpAI+LmHrLOV6zYwfeX1tWoTdwUjAadrsNtenUFiqosiWnxUQAhe3MIebwzu7IwnMi+LcJa9
GsbTanhODYIq3Gvh0qftzhV2aSAGvks4Ai1aUzSevLLWd+H6tNS6pwb6+n8MS1cDoV6HhTHMBpNm
BguD49qeMSct6dFcbkNT98rKyr6m9MDbwA+315YxmcqObpUtveJ0/fXJ6JW3W/qi5Y92fd9v93Na
X8Aoun1GNqEPyl+O/F3NJNPS4Gnd+ySRTLCJxKBmCxQf6kSWulaDMgIXNvahn8yFbPe5Eam5YFsn
/Pxem6oa+sOCkNfKC+UHCiabXQXEfH2v/0L50SZb4VF8bVQV5BVjtC6gX7N+1o1t0iG1sIAn//dZ
PyslPhW+Ndxv7OWV+zPZHq1aeFwErKSDzs7u4ufn+uaxpoLEdgXfiq3zaqVK8GZ/i5XUDap8pods
MKOkIZFLI3+AbZ/5w6xKnTMm7Fs9IrHsVOUdV6FyVkN7VZbfnx+OKj2+uvQGph1GGUViZaZx9DfD
bMx6NDTIUR61qZuZ3yRAErXQWE3HqqpGGqgv1THGCGV5Lvpe76bxq1fipQ98/IVZCm2ePnQ5VsEV
YTRsS2KM7gjhotyTBlbNxUGG8YsJQrlbfnxmDLYPDpsXqpLUYdiNv35mLGGLYR7i+WH24PPkZwMT
i8+7rqfgzyqkXaLBKU6FXdtLfuEaqTILLEkmubw/v4R/uYJsPikH6eytsTh4b8s0vPL1RCz+8hCN
tPV7A7mYa3DbtMxmzfmYzG09sBT5+Ze+WZdRmWKpwdKMdHaKvebbYPplRrRKgo54SDRQEdXdXAmP
iRmNhMYf26RiVbIlAwMMibpvPz8ACh9vbwD8KgdAKu5m6sNUa17fgLHw6y4vA/FQJ1KtAq3eHJkh
EHDZMUeCXJGoMivqUtYvfl6/gBDil9UMFvgKPMP2l46NUCZQzAo1JeeabuU3IFZhNiQraQRY78tJ
rZ+fSX9hktI7g8pZSMydWkdsKwfXGNUEts2N20uuoGmkOSEnQdfjgJJT7QRM5C5ckxEWVPPsELzG
VN96aPLaPci3frkx7FmC3ogDX60cSBRVC6Je02rSD0lNdIwvBZHWvAS2zVW6IlU2VIq2Lg+2GT8b
MNo8d+2iFkBi3QEhHFC7IzfJFbQkN3T1uihzRy3eKvqVnIZRkQj0vL3pbPKzOMZtZzbB7mEWRzKu
JmUIqOrFkFcwGJojpvSGD+ENp2gT2yfHuMz5Hitm1Uzon9mrrwvWaxGteyQKQ1yMo2P1mWJnGJ76
Y/F6tePcjmhbBbx+dWlOrHZopIZyyzy06di2zReWCVtFJoCrhVRRjmvDimwrRtuq1PksSBG5vjT0
1EZ1Iwa1YlLcSqg5ag2X12SDjn/wTlxwE3wmZqWEXzDXzShoIfUi3n6dAHS1yKp4IXNcvifUSi1C
ncgXYYlTz2OZvOBq1iWXjq6I/8RiQK0mt4XgdgyEsqmnsqtctR7rJ7dgOVkIR61BDKgI6qW7bjg3
xlCatvYoPuljO1Kv3aXYQbjp2EDU35brso7ylFo+bZe/qbnN4FYi72Xr/fL8RyvSaDu9jVfjrYMI
UtnCve+X3BI9aRnsNzimPs5mOqowD9TrPZdu7E/XsklA1x0Hx3EZoO3K75kzGRD/Fcbk1/KjwEDU
wh9TgxoDpFdLvdmjhhh6BA4rBAWFyUw4OFwwJ/mAVpcNPTzBhIAY0tpLbFxBckIVnnKhEuwOXBrK
zmpxgwFVjTJ9fYiIKVC7VhpKamO0bSi9uFUP5rYH2m7khjCq1kWU7XjqGVyGWs0vcISCgefTmzV1
9C/OvJ9PbdZfZnRkYjq2a16LdHvMt8sRzUcoYfi5c59WZKjk56FjD9o/Zlanti5FLQ1F4Ki7qBr2
xHVNMvqK5SXtvMsN0kHCGnr4M0pTTQ77qjPS1P6+begJgXYyiCJxlPtVWLiS0OGTX5hql68DGuNi
OLmmXsXrdjVqpamWiyObUDiT28pgSCZ+PosTNZltoBA9LiYesq22oGeeugXxlC785FAA26EYgUkp
bX7T0ookwTNGfXAjj21DyTw///wi/uXtwBsBKi31WZ/uhfPS3PihrDVN5MP2/8XaeTXnbWVr+heh
CjncMgdRlmy33a0bVKuPjZwzfv0869uLcyRqhjpVMzdikfoCsLHDCm8I3PLXlPaL5QFXO1APY9iM
+MsWO0fJpVdeUOf5r264CY3z/Uvw32TmlCwI+OmSCnM+DDBd+P6EcvCz3rKwXn7dT/fgIIyrXOol
oJku2ZeROifFkJjA6xyJEByctRi1tkCSiaoLOw+Xhe2pz29Ec1J8Qc5CIpxtdvks3c2LaLmoZJrP
6oAoSsDmB+WS3Sbd3M0DqcAuRZJ0QPiHcl3hJcwCjMoOuaJ1ElFSVOHksNnr1pPihZpdhXsmTNRh
ts6SR9eVIgozFuBcu8d1Qs0D7NBa+fL9Gnap9YmGchV+ZXy4s9u1zUvR2JVfUSGUeTGV6cZ1vD/w
b/q1kKVRtUR1FT2K0KFk87ZmE65e4flg7j/riHf7MXXNlbX52OHclCusUlDauKeW/0n8BLn1R83Q
BZnOCEBJo5j0k4DxB3lUurIB/To4/zBkQ9d5EzEiVVpVwH6Gz1qZ06xxMVVEPavdOZBih++DVlo/
6BGke3s2eZL9quTZZjLKAF9iSe5MubIat5xtUNN9zZZetzpTxH1/rC/1xG/jYNoeFFIIxFy0LGXL
+n6SJ2DCz2At189aP9JK04z/+PA1MfXCds9XChRaPsrAV3F24msqR5tGFJo0D8Sc3OJruGAE4ixT
I+4qunZkkAnq+ZR1KqB152/diJJdcmXKwVp2Lvxc8vCR2IQfOngQA5BS+kXfXTloUbE2zDmn8WpR
tVKQrU0tWuUGl2FFne7s5tqfv+oTKIyqWLT3dnh/GuEwF2l43txTEwzXe3J92/5bE/TV1NJI9kX1
S3Pses9TuVPzUfrAPCNehrSY3AAwRAQb7rMaqb76QxzMBNw3i9NFUmTBG5gznPaxTFgtubz/aD2B
NXz3aAMUPEPoU0T6aDm83b9ymEilcw7rJ6QOJJTBAXXkO08wvQw5ALWdE1CHV+MVfX5IebZyViaD
qKpqXGS5m0SLCEhJOKb+erBlpBauJ+4BqMP6rZygaVLcik+R9tP4TocemwopnkEKJc7T+CQwdZC8
B7eGjnK9uJx6HaKOqEAU8Iwr7wFQrZxi7w/QDxK6pK3M+xAFH05pGaTv5/5/Cx5nWek248NmNzQB
vxM8XqpDZImzoGpiTBtdBOo/IlUqer5NTiDSwn8FOPaXqh7nRph16/KSXjtJJFSLaxU/ji7JcGFL
x2y8tBs3yt/hx8XxRSMutdCB+FWFhcMwo9+INCZHhXPpQ7YH+kZ/vz8AP8wQoyHsCNiMM5a29PcD
8H/REIbKE9h/LOHUrTyOBIYAgqmXpl+yBNh3Nf+/lYT3yzg4Y4HrXP6tnLCVkSP9DTEDv23VFF6N
97M2LrP/gajwZcv7dt0IVIg9iLIS4wIc4825/1bi1xk2ep/G7v2ME1GFR6GMpvBBNZBmrekT42kh
M4SmmrSAvxP9Vadl9ff9f1D9vXgToqhTMvtU8/6iRm1MhynCofVwg+gz0I0ZMUUuGu7FdPc/EgO+
HHffjxKJe2hH6IckbNwCqPm2wDpibhtQtwh/j/26QuUZahrdESBJskLmAYzudbMjrNnflZdWc2mM
zhDejOCwwJehRAaYkPkEZRuJ6usF0gI/3p/ib1EwVMlCwHHEbyxyL3A9CTS/CSTzbkdLvk/y340b
NDTZpLfvOgws7OBpHu0OseS0kgIgStfyOG0w3PtnWDGDa9/QbHAy/wrLwbP/F6YpghCJfWuIn/sp
nOYAk82jDT+O/rTxVnabjs2iXXEoebCwSkQb3PjMe5AJCVPcwQW4e2WWUTkj7dv/QqKct1H1k/s2
+t///XwIn7BciRC1IhPxAUm/Xds+QWuMcFb0SeXEECVdPTQcg17UUlqyxvDLnkUzvzTuLDqGxgsn
y3rRR3uVScPyWzRB2OQJIpFXRpLMJE2rQ6+S110yqCDdN35RhSnR6g2/ILbh8bcSyTNiy4IGMQKH
JcoPYJXdc5sQQZmNY8SyImEdXHOgitRTHI4cIo6RstS/6bG/lmdfMq9EDQ2nbHOlVr5c5NIQFOHd
aWYjO5fXhYjUNRAl+DaVbVFZTPU1ySg48qUL3opovqxBz/VY9SR5xA7sANLUHNNmwezEjM4WhShf
/wn7M458JGejDSRuHve4gT6URp8PwLZol6VznsDAqpoTpaHH0Jgk6NfBvob3Q6sbHbD2RnX9Iojr
vNI8E6wzJYrpinNYqg++fVHWbOFGcmF+BmpsvPaMUg/27PIS1QjcjCicft0CzY6PnJbaQ9hmraAx
+LdzfF7yaWT4GankBM7dPaQUXpAeqzFg8m/boKGPgT7uFAT9XQXKh6O+hv/Nw69OiIEUDHof6b9f
9YnMRvhvGxebEcM2SgZABbdSHj1XO07Txht23Hrk2itHpBwR8xWxoS5Ko6170A8zlky42cu9EkfL
CLte64ZfVGSL9qnU0bqgQzrQTEMrqx1uRp1LhgLtAXSbzaUiADEwyjr0+N9cJATNkFTpkfF/VjWG
WEiMEOLk3mhEy/WnC7dzQytUNK/gQkS8pId6xW/wkmymTXUUK/JAyMscjK9efxx3MuNVIVFFnvri
nPlMgNYjbyfkmQhjyxDZGUo/oq2nflSrdyT+NRYys/NBO1ENwH1ZEDNSYzPSqMEe3fOOuoCsdBbl
egcbzeMF5ZBX3IsKIb6/gXLisUN+t5FQxHBC6vyxKOVxK9/voG7qzMUQ78WnI6ca30TX1HWR3b6H
074NWAPU3tnYtx3l8vmg8rN3aXvTZf02Ordam1XFbC0gkdXQNXutDZkCqZZxEKuAjOteeRPuERvA
k4vOdGLnYEX2IAWuorrJZ3NKueg0eryBbYlGfh6lAaE1SZf0oE33qrdIkZGCxTJTOm7pIfXLxlql
46iJgkogj5Q0iI71UVKaxaj+vj2XNnIfupGmjDSML5WY1ATC+imeqcZpX7tcaqkCvpZGe0vuI/N6
imx3uxc0lH87KxH1bA2gQT5L9GeKtdox11wkQEJ1/OXsKXL4V3FaoWX6e0v6nqNo4pnCYodvV9eg
5LNiKXWN16iE5hqhT2eWWgUH83fp10KTdjoeOTH2cH/Mu8TlxrRMu2AfzZVpxK6tW7eE08k+ydPf
xhsH8ZkAIRYpfFN+ObCbW55R/pAKu2+qw99XHUscvyiEa3tah27Abp1wXgv0iiRwjcC0vqQ0OZRn
0rKZ5IN8Gp69pJA6WxLgOId3VYsrrnNTZwg8kHQlmARlt/ZFeRyDlktR9IIIUOhAbEA8768SUGdv
V0ki68MGyIG0LyfAm3DIz+dwqPc5+2U4PNkgKMthLviQRNQbkQ29iKFO0D3YSJHykl3srCkHv67+
0Qh86puHepaz2jTzVU+5HTth8ibUTzlbzXlrfpku6mEsbPnCJatm9tc8DZANDfNadM0OJ+tlI8O/
cRvvfO9EMOCubU9X1KvbfZ6Df2LrErGThP3CwfvijDn4vfYqJZ2XMRWeAZDBppTIIGk2OQf0kNwN
+cgInQEhbaWeZIWdnPKnUegdL9enIo8QQE8QQFUElGr/k34ObOSHZS+lAA/uwd/z3/XAyGYRZ308
9zNFu2jGyMVdHu26EJAQAjQtN+vmeNyHv3TQueWqIWFyRzXStByLSJqF3Jh4AQvOB30hqGgfgSww
fGPJ5h3/HdOUR4kclWaspWH1tigMgFIDLSWyzb+gPYJq3GFkAQVsgGTAua4DSyzoFpS3/xhN4BK0
jos0zFVf9RLq5OwSHEKZjddH8M/+qNIpeeGQyvjj6mTof7RX9E/qeL5Ck9auihEp8e2YIbuFzWL3
/7HWpikG0AbFjh5dXcVdDXV5osMCCfJqdpO9de4bQOXb8XB41ZxvX7BRD080E/zswOfqr8Jz17T+
h17QgmIS321hnsCgwb2U43zWcxBhvo6DDFY+VsMawWgQUTh+OScvS5FgMvCCsDUCRc90UzfM6a/6
1kurF6+MGkYyrzKfESOoGeLjEbGEJP8HfEvRgE5D9tXtMVimZUse83qjrfL5HEZQMx/TEI2b9akB
v8Vzx7RYpsYOL5UffblQo/6vbU3HZICZDsuLX01wiKF57jqPqIxQdyqv686iFfUiJU4+9MQPSGK/
i4xpdJ4tUQSuH0NWfDnsjj7YF7Rn5VniA4nk4lckjl0mq14LwmYdV21HMO3DX1Qv3bVT2f/DC02O
WSOK3WNX4oG3u1G6jsFVCl+cSaezG83SPBjzK317OyWyJYwB0QImnQX7ZXK7zKOU1OkLS3e+PEBp
EB6MsQSx2rIfvAMPvP9C9hM39as1n1YbbeeqQCMSvTWrPewPqYlY0ZUCboOamd86zZ+EWtLMadEn
JAbc181ndFYj+9ocObpF1w0cPnoRJrLTuXmCaDyC5QZ01MYzCjMW4vjHVEdYqv0aIwJdIsvlT2e0
/xmRFh39c7mvrIB72nXWFPxTrwWyLO0r0Z4SwcupK2Y+xbIcWQUJmvLcJv1Sm085SIuIWyrsoAgQ
R2qrIYRkI8T7uiHufsl6KwbSGdLqdpT5ksVrx7hUMTrTy1/B3O+8PYmIZ1GiNiAe38lOxCRrQjge
uAkV87hcZXl7k52R2F3TeJEdk5VXMEy+eK1yeM7QqbMXLL3kNzoEeeTfnGWfwOlttxxP+Ye4iuSu
lXZpla0EX8kl74A31/FfFNbYOUIb3T5AORGV9PEPnORHZojt9RMXlpjPSJtZvkYVSBPHcrkFo6lv
5u9p9jsHx0XmnIaKPAHJl+wSazTrAcEfdCZuF5YxFz5kyIWMf0RTLqFAcwBMt/rr/NzwMrnOp37P
2ej0Xve8Bv51iw6a7PKbUcvdQo4EbtKfhFva2TliwK/x6B6t3AIzyZIJhQsO62zmq5gKSD1L1N4b
nd51CwfrN8rll3zI+H3GiGJwr17TypX1pxW76WMJqzbz73xEKi+r7nJjlYlnZyxp+COhsvwfaoHi
IYDplPyYhlK2WmNxoBlDfnH3zF164Y+BUZ7HEB4p8o30nhtsV080P3nA2FZ8zMLGDS2e8GVpl/HC
u15THPBzzFKN3M3ZrarJJgM+w5zs2WwH7jTwrI3gvK4n3J0kjdgom/Nj8XKOnHZGHsK6yoyqsYrq
XpJweDySW7tLzWZ/cpPzY4HdBBfsYm/P4JsUSw/T1SSeu3lYPsE2O7Tmfvh9eFz3GGDlinKyX9gO
Hk2Tn+7/Njzf7UQ6IH1FBJn0w8y2sebAJuU1B/EyMlaivi3nD1R/LgmUm+SOmuJM5y4wH5Ow7QSD
3EB45hLdaKqmYt392MvJvhinhJnTl5e8H3u9gX8B4kF7BUcg2dUDARy/qWKWwHjs4zyaj9roHlo6
i8X96C3ZDsQDn6EBKSaFVuTGqCXyKZDZtwiXCUYAuxoQFjl+yRL+mo6pBuG0ZZdwea7oSPLC8dzE
oeYcRwl4y0uzHZibIATYgaV1M5VNQH+5Mr0IhXUMQyF4i/fvO3wTcYKeoT/mARqiQ/Yj1cmd42zJ
E395wYHI52qcJXcFWmpyjrVYEoxytD/x/jd/j51C9p1ugocKFyBLhI1JCb/PCKmFZUW1J9MHxU5l
FchV7MgMTBb1VNkJFmJI6UbC7hZIWubLXvj+dThvU9OAnYkriSI86cMgeHsh1VlGLuov9mNJbkw3
aUHEnlb0fCIlPd/YBq6F14iEjHPdzPxf4WSFdEdpnIo/K8gPacoOTo8C8C2Y/wuMjqYZA5qaXun7
1xx835WRziFlSBIFGUabPuebdLrYveJIz319aWgwMySIyQr4FB0M0MyfT9MdU5JFEXoytRBYHUmX
FEyCe5wsKXxfEBN77sfd5ocz+jHpoX9Y0rjpOCHZ9gy+lhyReppvWlN5ufuAKIZmly/1TPtJ0068
YdY56jH5RWX9KzMOE/DXLpyujeH0BRWEQRonylVw9sCc7eCCzykM2iqr4piEW2dhWB/0eTJo5kV+
3XtrNK4cEVCLMPoBKTt8tVMEQt1bBCbFUpCKi8DV1+q4pOLrgJ7ireZtBgtbsRsBlyUSuICVPIPj
QcJG2oHvP6mLNPe3hQ9g0HEElAOFCbbgH3AcQPVyUDdHgVP2BcXTm5sP89yPVsLhCtPzj8EIQoKh
MCATXfaKlK8MQ8Q2DbfTnwXGa+5Db1Gtnmp3lYbhT65fUs7vrp/yrwOV1AHeyEoJ36SkHiIRALzs
8UOIFA5HrkW6zorUHdCH14bRmcGXK/L3bHEqS66MnZNpASsi5yeX9nbvgl+OAyAVN5JlWLDOm6q8
ndr1ajGZPlQcGjLtqS3YOFWllY8zDvUsZoGb2zsPdTewnwytdMoz1bRcAiakXokl9LK3ugtYrxPE
SAw+YqdFrG0bVyFAzLFVsSu/f/lvr17cFLwA5iDq6QzwW46OWw+DgztO80ELpJ6J2gdz1sE4KggI
ByIgwqP3v/l7WIy06Fh1MN4SrEJsbAfe7LwVLAhgwVv/ocjLiA2rGcXE/vX760hCyyiZJCBNnVVK
0+9//w93jks0nH5aC9CXaZC92bzCgbgHGMr0BA1OdgDLnyUM0wMAq6hAAoEMMMPP4Bc/nPLQeBhs
jvjQpq+Nzdj3h06Oy3eK0dD4XLYZ+9lkV9kafVTDG78kfX0s/EurweT4DKaEVdBAIn4Q4Yu2OmgZ
SbNUpN20q0GwDPxNWxJqPKIFek542WvNMJuEhpPMJjA2AZ8JOcm2G8Kq94f67SELCoZnDbQdEhhW
m/6bR03nGKMe1ymfEXYVn7N8p2gMa2+i4Aq63hAqzCYaBJWAE1HGdTkD3r8MyLlvtpGEY54uH8h6
phYcqjdrtWzrIzn9vH/a0G/lQo4ElsjXriEdBMZnjpUOigArMCTARAzo6qim0z2fNbqKTMWtrmM5
ahGZioiFwOMLCkF5dlo6zNA97v/0FsoNznUn2NavagSnlUal3hUzvs9gF5a6YE/Yo01KfmVvow/7
xBkj+cV4seUb0HDiKrewqHKH4x2sGi3tI5O5azepBGVnYAuS1rwe7WUZ6yzZBfjgLlHPNXpamDSB
VX3BFovGJW/W81bzI31SR1xPFJsVeBoZqgmS5Bx3GSAw5hNQgIoP1kP1MOOq5yh1TIlCFZSr6CJ9
JQWcYFyvPaLqZL7qzKnhDyl8zlvHSvfxcTYns6kcVmilMTDYucD8vKULK5VmhUNmJtjVAVX8hhrl
BTU7NqGFAXyeF4rQisUz7zYPZSB25jYMbWg3tXjvcp70A3Zr4DjNp59+HVQvpwF7GPpJCnKMp6TX
eSydkM80cNdKtbOQPkLAMeAjhQEprw2sacYbUOoWeLVCsEo8R/kj8qlE8fpCHWlb+vI4pPseBq3X
WbJIzYVuhyBCtzqfGGl1gZQIs3pROMzaxQJhoZbacZ9Wjgd3ca8lfq2SK1BK0wSNlrBClvjLbCx6
A6BvwPc9R1Mid6VBsg6Qhkn6NgWPDaYToWX8xdgvKuqqA5B7PiUb3kHHtVbhUeYUMtPc+QJ7bpEl
5GhctmH1H5odDEp3rU0NXYhZ2RId0sy85JimIVUb4Bm1BGSxr87UrQbsOS5EHsjDDKtumcrgOg0N
T+9wN7h8pYpR9JJ1zmjKpqR9mHgdk+I/J3SDc0VIvPK4xCY4UAR9ALOa7f0TEt6cLsiE1RujpUGK
jk8ZtAJgQnFU9hzFmun60lfSHev51tq1enbJ3sDKlEmoYH9diUoFNLe1mOhb+YSKydNHZWZ0c6bo
/F1PkQ3P8om6sEBmNaSjHgvVEDEkwTQhayqAfsWHvY6CAeh3huOm7ZbocHPHerba+Wg/6cDG1eiF
9zrZzfxRZLgGOUqHVHKWos03EykrH01XqkGYVQaFZT6qjgOxzU1XhI7x/szOkcewF1lUz9fQI6WX
UximXm6wYvo1OnEU4v+6fIwdLlFKx+NzayvlYRr8vhp1BuZU0JRYwXrNJa3IqjrhAWkXhvKm7Cqa
y1SXrVUR9wqhVOpAlXLo8HjN5mi2tzQJpJuX9YlsxeZY0tWCYfMkzbzZlga2h087+EVN7PHglGrQ
vAM/Xp8ABsp5inpcwUvOOmyYfUtDvz34lBUYQa6YezToLN/boSfHDLpccgrSbHFXlAeL0y85L8oV
7fIyoAR5PVAGkXVojsS82oSqrtSSxjD/6oO+pAthYU8r2lq1DcKXSFfbdxtst/Wp3peI03wKFuEK
avXiTACYrR98KvjhsF+hjZlkSXClEzZhN1+9x9PeC2TqTfyOMhqr619RRGsQPX7yebl44FM9cX7i
nSeeqZf9ACV6adSZX5SzqzREpZ3qkaFYxx5aSjVdW93hurT1jX+pcgyVdKJ9OgUCvh7Meyunr/Ls
9b7UPVgnjB4HehoZBCcEIGmspmb/11Rszntil+vBFIn1/0yxV4/wyu9jKjt4JcCgMRtkFtfYt1zp
3qCrC66eWDxr61PpuXVVUMP+UxNQikTCTUA2Ugphuzm0PXOUqJTAeDZ9FDzgqlQdyU0/xgLcV1mD
4XDlIXdBKN+Or4CwlkbPquTJG6ikWSFmxSoSeN0qwRPn83xSzcEMR7qJqpegZ7dZDJBCxXl7PiBb
Ow/xQoeek98wIDQOyI5EMKc6ByXEZ0X1Z5HzR+1+K/HiVQQhdmemhG/4TVhJDMzEAo9C3lDXs7Ri
C+PmjRtw2ffPe9b4e5X+pMAnSmXfJrIecPAYl1U48vQZ+fEmFAZkbjGWi3W/DdQ17BuXwnUzvTJn
2tV3iuRpLBla7zON9IGnpNNFC29mY9G7Wt2oQG3/JxcpoMBvkm1gVsTq5EYuYDiqcW/Btog7zkPc
nfmTyheuPdwloi20TpF9bjmvf4qTd98k+CDvEH90fBgQ/PMjiw/8Ibl1D8ta40+zBSraQpHVdrz3
tXWHL0hPAwfLAcyn0msUr4exQTe1Efgx5s9LT9SCRk+U3g3dcMQJRsYXg+ghb7CavUJc2WohTM9N
H6ZXawo1Ib1BBV+qSKaiEVxKPe8nHz+AT0SdB6kR8HIuehg/0jTTzs3B+lTeXW52bczQhSBm5BDo
h0pyT1NDqhY7goUp9RUTZ4YetAv3YUxxAsOj/FIQ02NS8QbWPh+bd41oZFvn15rPZD4AT+tud5M2
ftHj4/V0vQBQsgk6MwqlxeK2KSq1l2BdM4rFwkL8q5LR9CifDZVJ6xaqGZJARmINmZUe+6MESgnx
M8urDPqw+orAzdFOgOSFDoergWxDDv+wYFVHZfZ8aTK7M6EqkdHWCRpdASDHisLF8WjH8Pm+6j6n
0VJfbPJZxG/teNzsKVLM8wvVoeCMPuFfLEbc2xHPJ0ECvrF1dlvg+iGXkA3919Xb2nhE1FX+pHHL
mTlSiZnRwa1e8L1t8hsEQTDzfnSKPZr6m9HgxVXPQCuaW7BbZXXd9iP12ieEvxH8xld9zOboA/72
0vgNTY6k1Ezl34eYVXJnVZBKXVQroa2pzZt9cDY0SSW79YTn7FIaO5mLxCaerON2rNLloJllqO8G
f6PzSo3MtV5mzlEM0uTYn42kwiGB33yjm7lZAObkzKNQ4lfzpxM1Q77+J4tCKh3fbjUc/66DkiGS
79h5/qB/xGxp/bQp4lslZxnyRATWH0ZOlyBmXD3k9S5gt5QaCT+wDJ+pyNAHk5mGZrycwHtTCQVJ
PyRziHLnm/cv9YcdCiYcqxbYLc0tLvQtSDhzM8hdc5jfWe4kVKgltvv1Nq2r7vjnOnSASQccJsL5
FnhHWrcPgB3xSb5Jo7mO0CKeg2AL7xKTeNPllb7CDqXOeYqwCbfsR43eOHuElKTlYwSO5aaT3E77
gpu3TwSCPqPqGsbDT54FBZDvHwa1HgrDYMUFRO840IL4/2/wxSkR2ODPEQzGiYbmQGztCjrGbSap
6GojrzSOvqYwhUhvRpmy6FIpyiYGTdPEeShIvu0UJK6BBzpzKw01/UQzvXcwFYLTXKyQ1u+EBOyQ
fcGMprfHO4UXbaNHehcnVFh/M9949gMivwog0osw/UNF9hT0q/kmJMMWrr0E2kA5Cx1luo+vMJ8L
WOk00BGF9wwUZOk4w0+XeBcdqIT7d9Qu3Xioo9EvAEWs0KVdaMwK1BIaJ6qNslsR5Ttfpu1+1n9N
7dIzfulxf8qgjO4Iff5GUQohsS2Q0ei8eLVPDZt/cL1ZrXRXR3pPjI75nsBxBVs0XVA8pbM2HVkK
2lLoaR45/N3m1iv3JUCvLRhqe7hyI+Qabi3vYjs7md6z47eCDVjLRo4WvRB0qeSmeu+M5fM7BFqt
K4fYkIsstwBR4uuxW44IFW8DgFLotQ6NNonHuJVHPUZuNLVX9kaQU14rABVdlI0Hsdq+lLJ4DrsU
KDdb0KWxMcRNmkOgwJS3BUjt9OfBaUCI4vMMFvMG1Q7ujC+9E+e0gm+zsGtWwMmbg6QV5iTBGuyf
Thc5r+0fncGpWC7uF9HnYMDSpH5oPGwFitch0DsCXi3IWkiPMkPBn7tjedt5VKKeuggdXKDdTtTj
jpXkZdZGKGOPnrM9wyYIHR8GJarWLupwl260WsYnel/kYcfn9IyssXvsOYepobtnKthxRTO1uSdF
nN4YOE7mYexmAuh8RlVMPDaDFMgc4kkGlay97WpuT8ahd8KJQVUE7bAXMnA6YpnByGtj3knDmcnS
45bTYuxioN5MeUEzVxi2MA726gh1vvXbJrjdsvqE+5lRKQBxwRGbtTeRdaBMcLUtm8yVzLPF990H
J89vCIPLZ4xmxexW2vLog2UVWmB/gV8UfSoQiyAFnXncg6tKPuPkkY9AnsAkcjO6zcS0QQFABRWO
dM2HtXQJ8+7g88uX6dTYzHUr4A4QjgBJZg+9ewe5oHg40Ti3KwFer+2cDu2N223yW29Pgh2bTR9f
W/3d7MmypvYtGB2zQXXFlPTtTVglZfilL/2JF4R1sPI4yErlo+wNA/bwusfYbnWwq8gb7l5XGNx0
2dfKwBGA7usj7lJ5SbyEQlJdRke6HEiw7EnwWzLa9x1yqxj+6HtPtJrkcdmBfJKCsJPdvkC5J1dQ
7lljjVwP1mslTzQxqG2I7CAmy3PEceF1rxwvTvatM4aMUrgO4JkAEY1czHwxJi8M4F/REEqZ0MkH
L136P4uaCwOQ4zN41ILvqg2c/xVufoGz60ZboNTA5+uJkVUXcJGiPZTw0FPtZH2+Luj1oJzwvNiH
wHZeQUl7KH2Z08YZ074iEGynLzWq5113g4uVPPPhgj3XXhVyNcSZenHj0gkKSQuoG8LT4ZcO5cH6
o354VpayESkgvkECJiswbOvJb6+WbpZv1FaYfpfSIxQEYrzO/QuqRJs0udn2YwSPebOejI0zy0bi
zqGgTj3MP/hRHRecHO65wiLQpxuas0DRaAi80ZUGQg4sx24zgfzo9oh3kuDwBgMe1ZnHKStopsE0
z3Q/5fDemWTz0UivR08lMGCtS+fnRMb0dzCYgm58pR/Yi+z+ETVboIvN0ApOLIdAx3LsbVKb8tbp
oLMPt3WbCI1ALbTbC0hRf6lnSK4fi3aW/UmPTNR25QA6Zle2edV/H7kqm9JqT5nt/NTgocaM0Uep
WMPe8ExGc6uvUPXwEMCbvlIwRqAujyONgHX+b2TeBdwYF9m8tuH1tthsfl+xPEAJ54pWt+yS2NMI
hbU9Sc2i4UoxbKbsgoHHArSSzU76HM4BhTZ7CddM8IEAYTMr+mzNNfyKBeueCwDZRp5PsMaJ2Qj0
4rBW8mWxLw2YxvLeBeJ9eZGX9gKs9AzwdyvxHQDeZrd4BfXPHjqe/JiSRrQoIBEL78QEA4rb9YCm
WtiajrFnYeji2kXVXAGJXJ3lZVqBUaWPVZ9gofOMl4ccPV6G9iUEGm8Qfa12sqU0d5y1nEBZHtfA
4azGxQ6mQA9y66OzvvZxSeGRKSjVQwaq7R8alAPi5qY3dKopdQX+OqWekEF0/4zaCjbM5wgDKKC7
Y7ehjHRea9RDQxVV3XuE/EbuSTk4TX8EwCgVPFfku1QyR3P3ECiEHITGO2Wxj5C0hOsz9yeSuJ+Y
xxd4qiJ6h7oV0GKUAv3LXnSupFUqg3iQEwLfxEAmmNhPAgC20ac9b2W4t6mQ+G9aV4HKKqKxbgoB
3MaAPdLln2foIYf262BiHR3TzKI2wu5OG4t7UUBfYZCTfg6pMr0jnhPMjl5LH0U7zhUbYPHZu1G8
I152EoXt2PbJIusW2bRIpZOEwTNBQWcggzhzOXP81FP1idwvWizE71eQXHo06R/NpohziQyd7WwC
nkddFWD1s+I2rQEwyH4f1eHgL39oeKtLCBO9kMfRNaktKEnDx8IvVTrOIKh3IKtUrEXDhC7LuVcP
nXtEc/v7niYdAxhQfOT54UoioOsT8UO+NjfDYvrMCk/Mdx5G8qKA0smg/RCstgiLQbLLUUuwK49G
x29wAylZ9ksgMGn9I5BdeeopXV8Wc5ALheRhHeORPUEX4a5QUBMQTP3UcycV4DouLEMvlC8qliBl
kKK1FsYcKRpwhNN4amskQ9QpgSoVB0kAcTqVJtXcVHDkPux9G5/bb8Mex+mAThhepOMfCuPGZFgQ
1Ue3J63zsYqdY26enZ70fvxc4unCp8TKFJt7ieZNvqJnDewx6YLpdNozzJoBzBqsp1K/lA6IqZzw
ABWArchYhY0rEcwyuFx9g3LFgG2zWyvnasV8lLE5kkDoExpfDAYG+soYi3NBVTsI4zDCCHbLHHPq
poQG4cW5NMQq9C95TsVK5M02DcKvPu87cGsdD9bBewUumAGfe5TBWYGJ3UuUqA8dIVEJd/lIOTB1
Xelq0RNWmSB5duF4+vYOkkIXCyZhghcJlUZpnlPabTg2XfdgnOIeTcMLYPpYcB0il6LrV3u3R9RX
47/ZOiT80OhYD9rMZpp3D2d1Jsw7b0288SVItqSJXtHv4+YuTKYjXtMw/jsymGPUUha2kBMPae74
hESxpC9oKowFJjdGzE6h7RqJFHsmj1CZk/oIRzff+RRIIZf4FSQFh+Syo3wGNsc0DLIFbvdNcNQR
JdEoQlMLKp/tCurdVacVgyafNwAH+K6YVE9TBzDpAc9c01/N8TQh0FytNYd9bk3TjJWzv6OAdNeY
Q8TMHzxY5LRXYKymIYr4NSeq5gyuKQaETQMYlzPKIJnxle8eQHlJFoa8csQadJHY5RMbQxfSfM3e
8gvnoz8usbGhJCqe5RJ1mJWrH9GbwZqptTFYGTancvQsh6R8ZbJIOqGA/AY4I4OG3xR75W1nTrfK
/PHoYg4v0ISbUCsdcLZcq0ayCkTuzm0ppmf7AKkZ3yl7tCWoAQuYzclZ/D2iPcKSaAynpzq2C0vV
fCSFGdlZNF4NZ8dhRWkcrBVxTVsauhQ8Kmdx5Yp0zWrGbka5RCCdUdsCR3i5yEwLiF4x8DnSuLxb
eQLQDWS3UUQ+DbkIko/rezIDsVstOfqX6ZBETUfMyycJuK1gvjBRTJPPMLe2Bnqi+0hkuMiGbnjD
mhYr5RfXI0kZNVVQthVYpYox1ZmOlFnAltIUC9DIP5Mqw+L8/nRcTLRuX0kVJSUg5kiCNLR8GjXg
8Iueyg28Zq5PgU8ERqRBSh+Op1TOCCdrZXHrm5ulEKKFDlUIsVi2IIO6L51RPgpHTUhWsUvO0IyH
7dx4i53Wy1XUBJLxAmKQMwepXXkrfd2LQNF5SgmHelG5zNfC+YRKH09zzB911sA8itleh3yVo0Rx
bnM0ylrQyaMlDH2fgdlT/Wx5qLmZuYpIn4JZvo5spYvHe1q0W/1Hbfi2ZwgWbbjS2awVAuU0E38h
GoDsZmVZybUyhPX/dPWgAivIQ0Xhl60r019rRkUxCHOltdg5hqsVlRluZFhoAzv3wU7+bqPYDYwL
np/Z2qPBsav1Nj+w2AivdDUrS7CkU9Gkv75fsn1TzwRDDdEXPh8lcWDlP2iiACQPnDN3UgAkocgF
S/mMujAA+4TCe7JtDR0f1cbLDHdV5Zffv443SEeuAwkOx49Eu4D2z1vdBumwlUM9Rq8Kuqa6oPAi
hQicRriwFw22n6Fn3wgj4akUe8iXwyqA9Yx90luQp7PSHi1sq75T4bi+cKTMqUeHvwJqlvpMu9Yb
eY4XBO21pswg24q9/7XIFqQoVY9/IYOL57syCHBf+42gyZniG453MomHDvfUNoH2A50/wZK73Kla
K6LObwl7WjgwSTKHDyfAShEpVSJyVdkSeVvz0Uub1gj1WgaWsfXUcurnGkill93QlpF+BUZnftVf
u0k3NTghH3SQUa3ADjYsX4aQkxI0SGa3sXXn+hkH86+mcboHlIL+6qrtjDhmklRgLgojM7CVdDsm
YAmm/5WXR8uWXQ0xdduPCu0oDERLVR4LVNL8qyEssiK5RSdCvmosCunlJxwy9LEVRCEKanPv/6Rq
/0a7hGeLelMitlA4SNj0Ut40lL3GLoDsdNXdfFGHCqhcDCfGmRdNyVc4D2EKQ7blgQ+zgFKUNOoj
o5kOGcUC5E4lxaHHmA2OwOxMp+z9VXC5km96PYC3XRScSJbpKf8ffFfsKZu74bS325b4nL6SwSSZ
fU0RXArL0BNPm5UqN06+sdLxyfOLVlcSAVFCPM6gJrItri+IKbIrKC0XqJ7T19KE3HEKlE6ggbqY
78zqWSZbbFTItPFi8KfaYqRggB/wn4Hp0WkHzCYlsG/1GrVvZ/7LaH2OTllyX4Vp7yrwIllJ5NyH
pRqsrf+XbyD2omvHMsFHtap+L1wPDCKn8AmIXR8A7ZSRGaeQyVeVTAN5UtGr958OXfY3bI5AIPa2
H2AshrMXbBzp1X3T/jnthWud3BIb4L4n6moxPY6uzioLvEfUEa362Y32IqJfxfr7q8QT6Cn3zmN7
Bj5+jL8NnY3uh3OEY3jlt/hB39Vosxb4Gnf4fNE3iXf/T0QI8+kK2CE0s9mv/P+cVrC5fxf1lhU3
Z7vCKv03vUJcrR+Q6t2O/tPkDVI9sWh3pAdYS9+u3GcUBAohx3AOAkVgycr0pnEusWNiBCSjEEuQ
4vp0pqQ9PnZ2Zfne9dqlKwiiIS57JGzI/OuqeTlDmsAgBzxUNIWrm2fYUkxI2mCsWU9hEYjPvOfT
Xxw6trnt6uhq+S2lo9K5n5qs525vFN6njKFRXDPz/vYwlKEajQC+kFKUiPltRqJwXEAMYYCB7Sh/
rEEwsTiReijT/n6x4LUHX5dzLP38o94LIjwwrHG9dDxoSHRI46gDq9dTFaELPvp79AENBN9lhQUx
SeAnH2QDpmvXPeyFHMe2oQ6iJyxe+mz5rdlqa6Gtw5T2uDNcza3037sn4cmNe1yUuLt6xdLhYx+O
bZM/ZVmCLPa1Y5M6ReGtW8ZzZn8+mRdb8w9w+pCrqqu2LMA/P/m2PxTjy9TXJcM9oxnR9/fjYblN
+IJEWnpUj2llBWA5shHV0Ce/quigAbdPj5n9dqq7wt98bBNwLE8e7dBfkuZzNh517d7OOTDzFUVR
y2uOO1BtfRhfl8S3hfcwlAVIuI85FcMx/wvW52jjC3rOwJQev3cfrUhBnfwxDztkjP4VViEt8fvR
btgtPtkxqrYTljlr5rdY245r+M8BK6h2+S8ww2ltf8qdxjmSq9hysZh96oONOYe23MUxlB7xXDnP
6hWqtYIyj0Tycu9KkTP93hbUCclYOI2OoF1i79/4uS1987QXaTBuf3UjqIF/tf7/Yu9MmuNGmjT9
V8rqDjX2pa2rD0hkJndR1K4LjCVR2Pcdv36eSIS+JimN2NVmc2izuVQZRSaADER4eLi/S6us7WGG
9h7aCaOsAYzz4Uvm9bxfkzoZ+iOaf8L7s0uKZcwQX8HxfAmWPB2N6GxKNVAPSG3Upd0i2wHkeJkv
npp/qnULufMde11uzGdV1TZcA85BVE8dDjEhmZTtL2CCR2c/dqWq2Q9qyMFmuVZHgJDWpUU9u2/e
ObWXG8uFR0clmY6qE7pFs4uSsF7jLyyYeewCp8HHfAmSDJtT4xI5JpNm22KHCoMJ69tM1xso+J4L
trLJuqa6i7Eh7tMgZ9DD+CYbRjvRPEwFx1kZdikC4XkXlCGC1voOMoOQNtRdUtDiOto8Y6IpEd2d
acGNFwOEeRlYcZW71Pw0J4bAbVLmJcWZSwjcaIFCSyOUxOVJ9NZclpkro/Yn4sRCgyaavrPoKkc7
2gum3PV5aquKKIZ1Y8tfSpXLcFImayXTMdN8/YLqXw2xE/HRbtV2iJmHDlRrd2hwfPAbZ4mcJPOd
1qtsSqzStCW287Ht3+t5N5cNvopIXLreIW4bTUt3AF28Do4QkLhi2DOFQa3kDG9kvCs9NOd1ykjL
nAy7ivx7tnwdMlE1+GmWj1hTW3M06xjiKXNdjTv2ZciZgNeTuFEP6dwPmDtaXmpMnFjmgbrFwVjb
3qJGoKhDle7ing5heutuwUtTcB7AnmDQG6cOPGDq3fpahxSVxAcwgkVZnutuobYOyOJBS7AQntGS
WA6rZgkjGwBRBQUbUKdNR5gclwlPpM/So8R2Z4GUzpe5jMa3gJbxCTg4uSdOrvgu1+wDLZ33Qr3t
mkGUnkrdFC/BrSlwAm6krK6nV2NUwok/VOMowEUQ7sRphf7szCnBh9hp5+oZ0bW3PTTNS6TW7lGz
Saf0QoYN+QkFHwoqX1JDjHZLwYxooqLnsWedniCYWXvRmHmLPuj8z22Gmn9MNosD2R9u417AJkZ6
zK7zpq7A7aQHeFqiIB+uqsHFVlwzoRuEhTAPwJZN7BvoyIvKR7LhhwcSHMZFpSeLN902+eUU3VA0
qDhYcXexZgtb2kVZmGZu3kHMFAMHOlk01eCLRwToqKPPO/mQHanCXxYVhsvFtbL2zJu3mYfAFgc7
NDoS7dYpOnOsbhBSAFTwtSvzru6vpojOuB76gFvEiNfzVPHBSW2RiH2vJnXMK0pV9FTwSNCNLMIy
YajDmXFcBrulEOsPsdWpsN4SRexsWC6LaaDBp2D7ma0Rv4bpQko7hwM2H+WttECqt8FuS3D66QHL
cPF2tSRX+TziMELjGMi/eGUOFDyxskF1qvU1Dq+FNt/UloN/wDm6MR1fPEsSgRvSiTH81LqWGA05
stCbBNeD1qdoTCD8IqDzEBfEbctNxz6F5M/ThxGcB3IT/Ky5u/yA1FwvvXHi49TBwGRfolDC1z3O
oZ4DzR61RXhFY87Mpd+3bSOiWcopgwfEw7LjmgPRhncRZZudghsm0XgB2Mhw0oO+FuI9taMi5LMl
zghJE6F8rQL75bYyC1m3NAKIZB6mx7o3x9GgZ3aS3UY/QURIl5SViznpaBXxsdHIwIZAznY5eYHX
igzViJOBJ9ssSbLNuqPp0Yv7ICeOfBKNgh7PJXfF2DhBqHBhEYFVRy9AzBtkTQkGco3Ia0mZKzma
7I2UWAJj08hWhjJdP0ijEJzJhQx0No+Cox2i6sEopqAAaGJKtPwEvUigqNgfxeS3hol6/s4AfME1
h5AK7+QTWER/IUF/gX/MNlGRaDi5j5gT0ZXAUoYn8pFZiW9kL7XYRWT659W9yqiE65Az55TppDhO
CnZSsU4RjWBhEfnF/NJzV3ywi9xMn4KGh6+VPRJyUTneTZylO+csBFHG1eq81/TwfdiYONhfzFv2
Kdne/TYl5CbWbhWOTZ7VShHCQ8pqo4XrcalPiHMZ/ZSWezu2GbpqrUQYrPBZ50kak6sgi6AwPiyU
tRJhFw/502KwRg62n9thNZxk79rIj2BkZ6nm2rxptphqAIESt9NLkaT2XjO5Mclpm8cAQg2ohkD4
ck/I6FYaHBUS2DxMcFSBjAXDCqP1E4kdKMrAa1yQceaRiPY15Tp/HFXxr3LiR+AKCAH1WJkJQKFc
qyMKEGnd6hbUD5S947OIwiFY5TzEz7O4rhHvKPtA8pX07QnlMl+AK5Hv11syMCZwste3T1d0tAwi
36cPRZvwqK5FzKlBBjIwK0LXdgtVJkwNptsWkjkstaiUpyUw1eI6cW2h+e4gCcy7n01jYQRkylIo
kyDAGkZHyF9UJezSXQUyZL2S49ZsEuemfbLRQ0NDXKOZtUVMtYZHr85laiP11uXRYtx0C7QUtmJ6
2Gx9ig1UKUkoFhJj4Pq1LXhQZ2h4LG1bj90JB7ukqYlOfqY4py0oR0iZE8yKhq4S+6VaRNZ5WQrq
hz9ue4pZlzoXkUFc7puUNMVTyn3TylMh8m5tK6jPGp113wwnCz8KKEL3YPBMxA4O9srRIDtDREXs
80oO9k27KZI4bqevfbs0XBO+qkCJjr05KOrRdqBLrbjenTi9CDKK+DdvvjhpXoh5E3WzHU83SlyT
bfhQCFI+nkq9emiGzN61wTgjPcQG2/a666d21X1pP/iDZb7aTufQckTP/bOMTnJ/jp2TAj67nzi4
4igiChWK2ZhEhEGvxfVR2BE9eGl5IkkZcuHJmCMDsrssYN79qdK7+sirFp+GhC5egqWuYouwI1Xc
Z8qJqSQaeso2dpR7UbblOXIY5O0QjRHoWinbn3a0GarzBJAJTyQfTG5XHEBETCU0VvxOXkV+WR5E
8Zw3cpNNltTlIThyiM1evl/Ad+gdX0pThSivxIvV4xiBqTc0sLthOQdgSjAN5PFoXZtenBe3tAo7
XpFISRQwuj7KbF3Wg5dVeB6q+FXwo75tcPK72Jt6yI8kfttCZRCWxgKuoohNWsbLHlKCCPM1jDIS
DhUBQeoIayOi1I+dBMUxvry1KcLgKCIkEuRfmkvX8K3Beis64NxeDS0SuNnmEIxayQmErG9b1ZKb
wjdKvkB5d5Oi+WSRb+D/sP44h3hMXdH53CoGcmvM+lwkkym2ikxn+SyyblW26mi/L+p+NWdm8yBO
P3L1SA8kjQMIH/tRfdiqgLJaUniUKMr9zCrPR9CPpz0NPVARnqTgirRJ6GK7ZgbLfIiux1i4b/QB
PEJ3z81Vx7yE0CkKMSHKMpDMpDOmak9i1wPlLMSOlu1P7G1v0jYDuIgCeQFAIymxUjqWIwqT69ti
+87KCBOW1E4dT2aDW/bXGXT/kuN2ZttExRsnFO5P6tKJJptj2h2fmrcDH91+EbwQK4ycC8UKkRYK
0EkTLzvOFM/VzxFS9t5Em5WIGnftZ61ORvs4GF4PklUINEHUSFXE3Idx8NSM6ukoJFjqeRjj+Exf
kDxd3hcwr8ziI2Bw+FX7klJJk9ytGpQO941VgFqJrp0ts0IJRiwGuTSkq4ZcfEoNFI/yUpMgSv02
azOV4ZNZZRKaGJ1cU5cYIYHj/ySSFTCD4uQgtze5FkI96av5kuKpPhR3qSIqMw9osYi0xlUboWcj
Ly19SOS3V4ZZlNchY66NfsEWW+vZue5oJEnHLa8gVIg1kHm28PaSMUKmX7GiigIbb0wpou/M4TaZ
gnLbcqQr+WwV4mxt5YV4y2sXdkIhL8xEgQwnXbETlqmli0RNhjZplyQDsPx+k+aIUCPDpNH2vXjf
tAZ5+H47vst4J/M8ed9ocwkrEOFYP0jvkB/Osht1TQ61HKRx+0cZuLeiv+XCKxr83lmIYYjA6Mk4
X0QjYi7TW6SVVOwZlI6QbX2so4nW+s1Mo6o1r1ejGsOUU++J3yb5dskm+CLZ2mCVIFsepeNDulHS
3DBCwPEcWKdT1TfY/oiKsuRGSUeDfDMvEHLVYlaHreDIpnYukCOS0M3BQOSt1piJFoujEHbogp0E
aaVoarLZFgwbCUmyryUrXPCzqK0jUCcISpI/Ljm1G1l3pZTBNESc7USF3pi1tIuF/o18WOluQbcy
EVzRAp4wvpK2hRvUuY0Rmh6dyaiWW90J9OKsc2jsI0MIp11gjFZSYO9Kx03To50aVoLswkbtl2Tc
eXOBlH+pnmrqslSPvY5wXpN0GrN0RZCSHDun7Tc99JP1q5QGqs1E1T62rmJCF9vaA5IpJJsmbM6V
MqNfn6rzTo3iJWkCtc7S1g3KXlWs8hNZqMiih42DX6S5570fIiDdO5mqkzkmaXuBFOG6AonRPdGM
UcpJ8FelkoFs4kgF4Xkzg5UsU8lskyZZW9tmPenFUlsWbDEpfABAEuK7lAcAfyf4jtK8JRcEgrel
lggMmVabMdNWQ0oUhhAlk1Pusk04pUTb23yQptSyxyVngJxbbuV2/AmMrCEpr7REidfqGEPY49tg
oJjxQAl9cta9fBSDXzV/SwdduwVlzFZ7UlPiHCb2EiQQ+NMMAfNGuHlJOq38VpvQhWTaWhSy7Ldg
V0LP2Jkbh5fVILCbwKttMuttKkrLYCdVxFeUggNSBULvHAHnk1JGW2/HUBOBwZX+L5s+gRx2+Xd2
ikXStbM5vXUbmQ39OvEKpXpSRZV7HMHRnaR+rI2OmKopsfJOrnhb8gATT0zSyFsEfw0utvhp3HQT
9E28Az0ZYUCbQVRlaqH/J5Ajm86RZHvJgCm/lJr3IX+ReIYwO182F1d1e8PbXLHDTNwNpptoRFkb
411SuGUSINnwS9WoTvx+JdEa+osSJy3GsN7m07q5z0RbO0veR9/kryX/eRvRpWhOQ7/pvshnlqJh
aPNVhIYNybKJcmxzVzafO8sVCU7UjuRZr2WjEPS96Jpvatk2bov8hYAcfpbK3MWKTAA9zsGO4un9
kEObTw7liUcp1RWoQPeJ6ed9HZcLzouNIGMa2yRK0k7Q/OVLkK9EpnCVOlenSR01VfcJ62cvi30F
gAFTd067nF1WTk+OYCIyU5kSj2Ij4cs15eop0Aia6jsJBWhdYWa/EfxkuNVnsgxq+1Eazq7vQd52
u328ekl4O7Wx1giZC2pgDj2L0+FLpoFqm5ymyFbeC7fHmraTlfwC8nwG5yT0OhQrnHadP6v2nBr2
QWbssuAj04TczGIj/xpFTmPC4Ck7cQjdjq6yPeYpJKPg5+nIhut6Ls91Msf5UUTfNmpn8yBMts6d
s1mTQqIQh30EPkU9jA5AmDifCnqgTfSajVScVuSzeFtuLg+eQ+d6SoxWIloiVDO28t2qqxVnEJQR
cv4nj4W9OSE9u0PfrecOBr0IvoOsL8rMTBZI6cMhdnOsMszpDD9uJnP8Gvd6sY4HulEaU2wajDlU
sM/syHVu5IGdTJOj/DykmqWf1SkVERBONDSXcD+HqbJQFZ9q0MjBZOQOyRDe1qJZGdE/YMaE2zGc
NRPRypeJOpwqMX8sTXN4WGdEJbI6LzY7WliHAx9Hqd41+ttQQYI4x82cqoF+k88Nb+AOIFJmtd+B
FndZdEV3zTCW191UT3p/zMdJUZNxZ4VdVWMgUYxt3iNknXBA98ESqlp9cBykWbUhAPGIdeGuQKmc
lsUOyafYSi5lPU8mxbJc0Se6+DZRFIo3MACeWpNLyl2dtR5IYByyWtrFeA6gIG2ANb2ytj6LNbQJ
FRlZ2ZqAZvKS1O2gJ9k6SlVhAHHjJFWWJ3g0JBSS5PuzbORNWf5ZCs78gCuLOMvReRC1unaraeFZ
LY78Kt5onHIqrxFtYwZC8Mfl6bujm8nHMUEVFfdY5zW5e8eCOQTYvxel2ZsY3UHFudly4gavSZ5S
VgHFS1KHIOxTfah9JDFadwwUTP+m8iLpM3EfyN+iaiGLc53KNvivUp2hlTySDzkMC76z1o6xXD2A
K9bdLEBvuda0fTEP3hTvwFqB7bmiLyPOSNujQHgDtXM3aXGdWCTw3mzmbyiLRU17lY3lVMyHuMBU
N9oZKiIA60e6inrUHbCkc/PyGDtxmBcXHolI7JxFg9AR31lahnb1x9BZkqJ6TRt2cSpoMvEYOkHW
cCKPDkaIONneHA0j6Y+q5nQJ4uOboLq0IqGuKOxahGcGOX4bLicYJ3g9Qne/0QMlCFZu2yZHutbb
DVYyhepOepeEm0mG6drGbAZTW3hRvLMbLS6zYIOWS/3aBL8sbDw2DmtTT0LOLUnB+iDWTKlXT1/n
quMo5Y6WzpyGhwhVnyZNgbfl0TIFxkTZrvQHKhjmEmAxGBYZ4N4QjesdQG/NbW4xc3Qbw7cUeu7L
oXapjk6Qezo1XH2162fOBuPcVHZ/sEYz1Vo/VzCJdM7VZYm9fm81i5a9DVVdccYjeImkhzkHy1pN
b9OhhpX9wZ3gMmZfDews6d9bCaIb2tnoza5p72ZjLEV5MfP02t3HQxjP1BcMe0w4miWGmuF5ogEQ
WIMpC9PJDqy1TDLIOJgx52YCYmnS+pYGfDc02XFltLKRnpmG4N95VVP7hTWZ9/glXBpNqYeFH66J
1Sd7ZexobX1owsqyppsWhEClnidpHjnlbdKqXloebRy7SWahrJrcvp1Q28p2OeYBvb0bzdUy6isX
Xr9S3xe2k42e5iOnlubhJcsKEfJbjr8kTG+jqSj4oELfrw2vR2stqvUQmZXNteesKxTjQ+UCQqRt
OdCNPkdPBPexyzDH7mK6z+ZmHUzA9m0Um0DBwHwsvOsUgTX7dV0A8LH9EFawuVyqYECtLlD6uin+
zurR7cedR2RZo79da27N4QCZpMOqBD8QesSDBQPPupTF21h3S07W0xhb83hfzoW9aikiDTZ+MAeP
lGQ5s8QO01+HLGB9OsCt56We5Y1Z6vldXSHlFL6m9zzN61lc8oH50ht6EF+HenAVKi621ZMD71Aw
aHP7CjozBjX7uqEaAZHWWLXxIbandlQvU4hFYXKkP+oUzSfdaC1deVNgdaDvkbKzjWznkadXPWuc
kB69T+CSdfaOJkPs9kfNSQlXgTnA/oaZWagZG0VawngYz0tlXDyb/ixV4H4HJ0D33KDNoYLq+y5z
Vle9KN3Rscxzj1JVYY/+UpKSVQ+wAMym+ox8ox0Vd5WSVEq0Q3AtmxLD1zPKisZ1nXV52e+px3iG
tvdc4B1R0HGKXBEd8dIUjsPfS7c0TkXbLlRL43wSnjG667vqBPB3T7fW09UHKsW0SW5hQqWje2a5
UWTNDwXH0S7Zw0RZVbrW1OTApcyTk+UVatB1ao1vcSNt2upzrSUUHG/drQHRGtVs2J/UKoaK8GUy
C97ywg0RaJjOcX8RPdphaxY0BqYO9RWwYa1bPkljopw6PvVJC4lcXjYlDz2Mg2UFMNLuZM1C1lGI
Rammo3CbJBGzXZmRPvKrJisa+7JJdK2n1J9VDINfaODRqsBTzHj9EMejFYFxJEetSS76GTrAucQt
GLJfDKaXTanrMJ/OztatDgfTY7aAkNBxX7uL3mxEV7TcbFrTrX8nH6y3Zxzv5UZFlU9sw3KfQ7FQ
wJbjxBT+xamsq0eG2Nmo94n4Lkv9VVHMbE2y/z2qvcJPRTSLHlG6NcW9rZ9G5BGtTuk3C6ZFNCJl
1rjoYeJVeyrrqdoGkbmKc6IcaUeMO4XvAlNiEpNtb2/YOVijGDqAuDr/PVTumYgkK09FxNJBNNoC
zktD6ilOziojDwVBSwk2MKE0BioynCl61d9OtJv80XaKkSfxJQ6Rz/r8+2d5BnEGRynkfMFVgicF
B+o9E7Q0KCeuoRN6GI5NMZBGvBJEC1v4u/K2kLuh+ngtywKbgAdHQXHWOz3Gv32d/z16qG43FGf3
n//Bz1/RzuLYANXp6Y//eZ18bauu+t7/h/jYv/7s2V8dH6qb++Khe/5HTz7DpeWtg/v+/skP+7JP
+uXN8NAudw9YfvWn6/OQ4i//u7/84+F0lXdL/fDXn1+rARY/V4uSqvxT/ur8219/6kLv+t8eX1/+
UnyBv/7026RPuviPD0kbJeUf511+X37rfrrAw33X//WnYpuvQKGbKmkJrQkNhaU//5gefvyKyA+a
SYOyIfDZ6G6UdLLjv/7U3FcOsC10myE3qgiE86sOM5TtV0hag/d1XUclKCGJ/ONRn7yv/3p/f5RD
gQRf2Xd//flMDBcbYBd6Dh6IFrAqlfz06ZxeUIGvZ5jCAY4LNdWTuduVgPTH9Tjky/dHwyTv/fhe
z+SlTvdysQfShCQs57Vnc1bt8hUkbxoCKLAGf8WwdG83ao2+Qvfh93fSn6ltbbfCLZaFCuTQtsXv
H0Fa5xUgVJjwtVaS5dLwLkf3Q0neHmiLmR0KTmw+th/nNt3QAMjRp8WZAzQSb+Mkqr4UxvcxulOA
o+1BVqhBuPggF9FQpaROHmMQ/9IXRGaeMwXEa/BsU0PPwzZd1xTL/dHzpm5bWNOkecEAygx8WwM9
Y6pq3wGu7pObLQHCLOYL4uDPzMFhB6DjzgwzTUgSvwD+YsKGIelSoPKWuhzpm+pN1Izfc93L38Bi
vJ5CTH7oUVfXcaLMJJ7aXqDzrkdOhyWA4gBZhgDE+5vY7LMdc3lndGPlR811PX6YlWwi+mvLDltL
y19W2MUWyl2YSnlfFsv286yu3pKTvQFbMe97UzGQNFnN3WC7MaUoTmSWGiOt4IS+VofLrm29LgBz
C4Otzj92rbIz5jG5+v3EeS7TJobE1A1eBJRRoqst1sujF9FO0PAQGvI4Ugxz0EL22cGT+YZSe+In
UD2CoYs+FT0JrdaFV3AxL6h2cI6vI/v4wqMI2PVj2PzpUVgnBjBI3cAC9OmjLFXmmMiceIHqAZwb
p6ILlnpe/BSsqmhN9X6eq94eQiG6wPh7dn2/W0w8UKzm4zQiMv375/kpUoiR+a/HcQSK/NHIeOZQ
kbNXHmlIDbPNaKJgNDilGcOHdlrTF+gNRMWfvjzz0tAcyA2CNvD0brAhCxOypRs0DVwRb+rHfVTb
4wsr4CQf/3yMoekQmbFRRjJXhKxHX6qAa59ryegFCpAof5z7L8Y85zsnGaAYz6MfpWuwzK5xUccG
vpyadQFVdAlW33Zi66wDPLiLYSkf7bm4qw29xJ96PCtL55tRDh00k+sh18LrdVKjHaI8h5BW2L6G
2aaYiu3HEBl9b7wxVmowTey9by3t9RB25mVt500A8qv2GyB2vpfU1b6eUn+xi/5GWwJXS4Zz0IdF
EMZVGxQKjSM3xgli7hBmzsN7zpLfsnL6HEVqcwU6zldgawfwTlvf8ggpWfJ+TKoVn9JG8+2qW3fc
J0awwe123lhWL4zzT2QVMZetk84Xgu8Ow/10nGH1N8gd517gUELYL/MO46nVN0oLPr+lvIvHuLrU
6EgdYBZihBkFtqvPQS6QqXzsBZnDZ7nTaY0T8ND8cFFTRJH96cM4Xj1gixq6gdOCVDK6yfYLtUJi
5KuHsHY3dX4d9+oLE/qXN3UxAUMEUIWa9uym6HcVBAluWka3Y997h8gee7j+zfWaAI+FKTEw217I
En8ZziDCkblCEiIkPwtn5UR3fmxStndrOO/EMctd5uwIbtuvRsh/Sjd8oVSg+GPl4CyWJZfFaJ25
nRK/8PU1sZKerzQocGRCSD0KSZSngx7irIHIQeThZDqZu6UQTl+qKLE5U7FTm7jeYRuCDGo0txeQ
s+aggTa51x3lpiYruXDtQKmGCkxym579PrD9xJITk9OhMkeyYBBqjGexJoO3E9FLcQOv+GwAUX+d
LzdL1vsWum0q4pUsHrU+ViZsGAO7znC5NgeILaOVDHuccuiZR+xRmsrhV29bv6q9z11hIJTTxQUg
9btEbztsq1LvOHsrV9NtdecgTGK4gx+OsNbcyd1jP/Z5ThYMDtvat7N7W6XVoyzMjjm/yqb0zJvC
0IeqUu4oflOtUpoaTfj43iKsgVFaDl2lrVcO5o1OOe+UotA563WXsO0o3hbockHX2EXRnAY2R+og
WTl0ag0Vwsx8/fsB/dVO4SAYJqIqaZ73LKhacVOXUEXcYEq9Edqssovcfq/3yfsEmd0ttPw/OIG8
Hh9gULQPf1zf190fh6H8dt+T+f9vOJAItdj/+4Hk3QB74Q8OIX/s7pOvVffLI4m4hDySONor0kwI
SIYGxMXUNX4ljySO/sp0UadVdbxNLI4dJM7ySKJrrzyRAnginzaokfMpeSThV/j3UWpR0biFkagb
/+RI8jxS0msChY1hA5ey6Wk+i5SwhJUw7tfooE9Z/2EpzMjXJiH6RAcKA8nk+9im9QdDq+4fDdp/
43hyuq9n8/3IwemF8f0e5wLr4pRTrajRgZFDVK0z2ru0m5tdopbD+MIW9Dy9EfeClEuur4nBPiky
Pso7GMphHMclwg2PZQiZIjp0tr4Gv/9G4okfx1xxFwoWnqna4oW6z1K2rjOdwta4C1UEfOa6Yjo4
OCicdWjRX0zxXFwh07PXzWNLpej89/d+fqLhxogFItVHTAUh4jx7i9Y0RKuLRthhtixj78TmFUym
axDHyUFvE23f1mb1wh7zfIs53dJGaxATNey9Tq5VjwbVsMK0r9Q8OkxAqHZhqRoML36PVmPFL4S4
X4ysTS3IZTnonJzcZ/mM58V1OymKsle6OrnVw1kNPMrs56HlZJdKt3yxMvXSXZEezGGWvPA9n1uG
cap1WIEsOGi/uoMuw9OZaisdzH1YdHuQ0O4uRrHpCOLM8Isxds+KSWsDQyfJc8tlOCTpSsG1H5VA
wyzTWLNP7M58SE2sF8bkV8NvaBpHSua1Tufp6VNB6UEsrDKUPXwT72A3yEgh+lz7UTI0h99Prl+N
AHUvYUMGaZVinIghj141+LMpoZkRH8bIqy4BV1l/x3A0vyCRbr1vRnUMPHuC2Z6W5+hpKE3BeRrh
lz2SHzhFj/36JtNCTH5//1j6852PF4OfkkY1B1FbKirPJ30BArzvTELXbAwJUp5O4dMzoHabAOGo
fCh27ju6TDTOx9WIUCFb4l0RhsuNVxnTxaRPysfBnvnUouUxNRmbxLyEjHYFqegAJd2heFJQJG9d
8yqJlL+LbDZ2cRw7pa/MSX6W2pP1Npx7kpbff7WTQ87TWOKq1BptVjN4Eeb90xHPnCq2NYu3izNN
Rl9rxQ3ES4vO74BCqLuwitXvc1jZkImUeQ4Msw/nnbeMcHxmoJ/orsXLdYHDRb+DFOp9hClmL0ET
RXG81yiqb2nBk7rk41qT8fMKZfMiu2V9EmOplD193rkJLWSXrHC/VmEV9G06NLuqLCmmW21xmcaV
dteBgKoIvuVwvaame0sXBDR7uoRK5msNnS/HNHqD59f7yJ+yrqc+lvMPPWCthh6nMqq+a0ZvayRg
bpNGjd+0YRQmGCLPziXy+dZtMnv5XZJbuygvD1GiunSKh948NnGnX1DEsu4SO3Rnagmc6yvBLJ3W
cn2fGY75PsXT7Wtv9sNBG9p/ery2PE+FkU9ZQRTIiNJPR8cYkUyNwL7sQ7Td3uf1onKAbKwX9p+f
dzlxF9d2DI9cgnLm07tA/AS84Knh3qP5H0z68lAJzu7vZ+bP6QI3wc2MWEgNDV2EpzdRKqESZ03h
XptsYBL0Lz+1GET4UVTmARCiyB/qqd0tbfmSkdkv7qzRL0d8QaMK67rPDldph0l5onfefrQMujTx
ku0wAFz9pUUMN3LegwyIPwjfgRe+sf5zpBUxhulNBmFRVH4WZqDrArBLDW9vVKpR+cbshh+Mse3u
9S7NTN9r6VEUwNAPWUIHaIds6HpWzUVt7YZUrzt/BnB0FYMj+5ZSxGpEZUkPiRpw9fP2HS5jyuUY
O8a7VYnqwrfLMr5TsrL4aueK+RonqfR2Rj7rhXrXzwt2C5yOoXJoYHI+fY8zSG0YVRS04tobD+bk
em9rq7nrsC+6rJx5OLieeeMaenwEOJb9j4aUBWcLr0SHusDTuwPDMRVTbb19hTPEsW9NMBZKKWwq
aueYZs34Ghf6yq9hqAZKSs0FT9PssOaqcVvo4bJvSvdD5oQcUONwhQu1YmyiOiVsddPee93U4L82
Ycer1g+RYdX+ULT3OZq4N71OYen3K+L0/p/Gao/VQKw2TIemKen4k90xQkseMTfHofurO3cr4cSH
JA5ap+i13l+mFuodVJLzpA9NiiyNdz7Tzb8NMY3+8D94FINI7JBY84KcZ4+CLQG4kKxijbSZkJoZ
2vtxWCPfNobu3F015bVDg9ZvzKjwm64d/WxxrjRQ3XcvPIiIaM/HhBTYpPhgI239fHp5vM186mIe
BDhMOejnK6Zp55phJ1dkaNRS6ZHsciO6oihnnhl15x21tMoxUNatFybbL2Y6TR0iFeVl8iX3WViM
DVAVCondvukq430UZ+61zUq97ID/BLkZOUcn0u492mGXitM1L9RxfxGUDd4I0ZIzHKbGz4JH1UBg
TxvuPntheB12nnswCrPd5uD/P5Y/6hNqv+8TXt+3fVImzfDwuDd4+tCP3qD6Cm1r4oBI5V1LE1Hn
R2+QIzVHbYBIOi1D0Yr410FcM1+54COBGoCMwE6EF/yjNWi+QgmAX4n009UN/Cf/QWvwNA8fLxls
S/BddWhHoRJrktU/DSM5BLEqrWJUx8pmRl/FccIzsDTzgOrSsr7jtGGeG0MGRG0y1iCOhumjjRDg
Q2HH4X2tOGeDCdon0OvUK3xz1puPmqEcy7aubscM2wSz79yrNW29d0lqNDtnSvPjoE9eMGd1+aWB
e/uuAhb80NXWGwE7RYXCILOfSfIv01GPX3eFFV7EigUODNwQx5ylY4toq9B3Cq8vafG52jcbNvwn
A3rgLVwdNGjWuXsb1XqX+3NfWLG/Jkb/FpqMPvtWnX9HGsJrfBBaveWD2lY/IGRmfFvTwhn9CaGN
N+1cUKk16j73ERHgEKsT4ka/Ap8MjHi0qoMxdi7SudpCdhWtn2ybnFB18+oaDPX4JSyw/vVoNFm+
6sXOAZH9aPEzYBbnlZfp3/JqjI5N5h3SQb2tw0l7b5dd/c1A7/CDoVRo/aLnq545eunt5hXua5DX
pP/jnDbnnpvmBFNlNS/cMc7z3TIDpYnjLPn6+3D6PIh4FBU9MWvRjhRWruL3j85fJRKRJnCIMkDU
xQsS8jPAbYobnO7yj4LI6/qhfNu3Dw89ZbvntboneIP/vfU9mgKPhl8AGp4ADm7vy/vi/kkQER/4
Uc1zXmmOQeENfTkwAbqACsgg4hqvqPuTG7Pd/cAeyGqe90qY7LKoWdn0Uljn/4oiXM9zwCV4pkE+
DRT0H0WR5/Yp4hSM9ar4D1KWBsXBZ1MFa6TOBIu6b/o4hmFham91Z5nO1tVuAtRa9BulGPvzcV10
g6KN7t15tY1akJqnV4aignwdOnOX9uq457hnHfs+ajq/QPU18IYE4m/MdSKbVhE8pfL80UD/oiZo
PM/xeXqRvZhsx/QteP6nT6/lCkcpiCX7XLHd2wKY3aXnFXq6K6IlEUCGz1Xaqf6ypEqClV0ZXyzQ
SNHbQeDEh6ZuHVM3Lg+jmhzWlEGYaR34DdLBF11ZC1PX4UsXV3cWnMRPAkbis6V4X3BVUQMNhfoJ
nzC0fZp5mY+4ko6Xsacu8Cx7MD5eZ+97FEtu1LFI0O1RukPqKOMhG1z90KA4dNmCwTr7/YD8lFsC
U2Dt01MS2QvN2WfJS5mXReQOHRzEif+sKbymPl+XAETmfKjr8JA7bY6IfNH68Th+IFXPLhbt/3B3
ZsuRale0/SIcbGDTvEKSrZTqVap6IVQdfd/z9XdQ9o2rSh1L4dcb4YdjH1dBwmY3a805ZvXJ/PP+
tdC2Y+5RDQoulBgvXosE2FT25JX5CCemx6yKWwQlhMydAidq3BXD81KroNndvhm+f/wELgubONZp
FlOc1tdl8R0trYyqLh0mGhrjoNPMaSSC6DH7rVj2s4E/4MANxO7Hl7w8760meUkDj8I0BxT5pzbz
ZrYdqoiqQU0SiT2qpqeZ9kteN/ctysRPLvT+sa5HHyomJtVpdsvrzvXNhQrAVwX5j50PuGjOXFDp
5Q69b7ctas3YTFZDAR4k6jEZEvnJtlRcUujWH0mZgG+McgTlzYtrBwyqsKIz66dBV+7yqq5820Tb
DS3V8jO1eawKGmAT3olWLM9FkPyvbeE/N8DvR2/BQ3j3lFslRA4EdYl4w+BFDcrXqTZfEn1dUGFK
jp3YFoX5+PGbvVxHuSaVGOZsk6MaNoKLrylWxpHuQtzR3W/lASFo65mpXT19fJX34wexIJM5Zw0q
rszBf7/WHuoG1kmnwQIJAGp2gJvNc9e6RWrEn5xt/uE1ci0UZWsRmH7qn3//ZgiRHDamdSsbXqNx
6mvrqRbylxIVCX0UtYLa2/i1Omd7Qmc2Wtd++fiXvitTsvfVtFU5x/LGWnhZcmqNxeY8zOU7XfvZ
pOWVOjXfLBVdR9jvRZATmEKzNp7MFT3woCrON5qUsycXreJ/lSCdnNgjASP2Uuvrx/f2D2/hr1u7
GOC0X7BNhNwa/Ysju7dbB7swr2b/8WX+YYbmEVjq2sNjemKq/vttwzvD1qAtjZ8Y04PVtTuyYZ4z
HNmu3fd+C5+R7I9re6T5Dvt2dkccJp/MI++HNbfA2sDaybaEWsLftxAnXZeU/cQgQFRGcDUippH6
zie/dJ3k355P/rxrWiGOyilafXc+4XCS5aM6cJXEegpn67HLuueC1baZWv/jh/p+0uc4xfUMlj36
orr+9w/COeHAsO4bX2fHvV9C6yUu59bV+sjYDXI9KtjaZ2mc//Tz6KAzOeATMIR68R5BRArseG3j
G1X/SCRE6ppR870zrOMQ6T8//n3/9NmuGjMy0WlLIoe4aBXWirlQxmoaP5uTDEFRPWHxKhEMUESn
w5SM8KJiTkCd/QIED8FGpX3yNv9x3K4qLAm2D73sn4r+m5mjHwO0Cl3d+I1pXJM1IU5xPSRbvIQb
uH2/Zl7LlRBJvJnicse+9T4emv+5dLaOKc7OzP+U11mELl506oRlDTGp8eVUvlDFuZ+Fds1h8LES
1TNbu1vWrsWt5W8jQhA6fdaDFuuEfzmmiUVkkmJzgyb44j0MeZLjzAkbSIvD7CeDcuWkarnDyRP5
nSy2rdH6EFhS+msObhinCxQ30mW0UTTF7zrdcItZeKlBTGpQK+me0oMK3r9QNx8PmPeDkyIDUh52
JNyk0C8Gp0pVO6KAJli4jKe41+1j4tg7WD+juwzK+Mmq8n7qZCkBYcVR02CMGhdPpR01CJNJhkkE
o+TPNI0fpF6i0lU+295q758/HzkXg0onUTv+6fC9GYRJQn98Sg2ovLV2ULLqZdFT5EpFe4sisQHB
N2Z4kOdiW+fFkXBWZwOnedxXebbpVc7mhUVBPokmdF6p9a0z7WHfjSgYqiLXkLqxmRARfaKB92Nk
ue1KfCGbqpvRUvaGZ6nTj7Arjv/bu8IgQPef38Knzai6nI3HvojMKqoXv+cA5UsJvmUKS+naixFs
4rH4bF6+nP3/fT1b6Jw8OUheajepMicDUNHFx489n8pElXdtGJifjMDLKXm9ioGaEOEJo5A9699T
Mt1fkcdqvvhasGSbpYq+L1P8rTOqqzbHQN8t+ScXvBwaXBAk3FpyE6rO2We9oTdDY6rGiBpeOvta
aIUvAEI13Hf1q9aIHyJLG7rvcewmpVF8cl1x+a2tF2ZPTMoQ10cMfPFLJcDdpLPtyYd/2LgVqxA4
/kfKuKlLyp1+JMPdT2TyZC+/I9N+KNT4xrSLq4Ad0FLmLyRTI1ZzovKTRf7yo+S2OCgwR1lrB5FS
9sXzKGh149CbfaeGAx9MoXGogtABQThXh49H8Lt+P9dCz/HnAOQICh0X0006K/B/lBiduAwz7LxF
6FGC21A4XdyQU4JPJpS6wYH3Sidwi2ms9Th0Kp5RGluGh+1mY/z943v6h+GAT9hab8dmn/VnJn8z
HPraiLhWOvlJi9GzZS/i6XVbIV1fXjV9fkn6EGN3nEXbj6/7bqnGo8ciuarmmYLXQ8Pfz52aDfM5
MBZ/btPfmQmnm9Isbr8NcW6xr6F4uRqLvjyBGqDwkKSoS+u87n5+fBumwWXerlTrbaCygTmNgJqc
gYtX0mdgw8JeGXwjG/Wfsgq+pkN8Awuw3xF9+ysde/OR+qsM3VY44T2arXmPLWmTa050p9jNIcVa
fdUP6RqoQpfWsOjYuoVSNieAhM3WUJbyzlKa6KaCFX5IjUUcnGIZoRZmxVeZ13Jf6ov6jTwwDQZy
6ez6qO858BfEOFp567WTSixalW+ydsjP5HXsgAHqnoYd3zNHusEE6HwvyDY+CkphuHnEdN/lJTfZ
Gxsn0UqAstpzTQ7p/ZwthWuP6UAWYyvPdSkTNx6y8iZvu2UXQSzxo1okGzajWbAh+HS6ztLaOHd2
QjnCVBv7NI0ifUJFkchdZXX6Z9KTfxgVvAm2T5x5KPm9mySgKII5wRvuh4X+KEPjiYf6vbSqbz0A
UTcesewv7b7Gqh3Oyo9PxsK7ocCqjBOJmGTmx3fGOLwItkH+5+CP1Np/2lkdPGkiKPb5oj7Lxpk+
2Yy/639TCDNpbK5hxXQ3mfz//gLyeEHtDiHZr6wweIaHq7ngiOUG6F3wIx40M95AP1CozCvTvQlT
+Eum6MljRBTHKbRK8zeQSQZiMimnLm8rtDNZrPdgRMp4YdvEbEZvfLpXZ4AHToGWrLP4i1RQtbtK
L8XZaPt49/EjfD+bIDgEwa/+KQiY5sVHnYFAoCcw8jU1KHytqolvsaXbN3Y1MXZoqBzsYQr9TrMy
zf340mwE1qPn398y6wp2KagU/AOL9t8PlKgU8tkDyhBBBLZymyboZBA55QeNCI/V3WJWX0t8mRjD
wsk6NAAG0AXkSn4T4On5Odlx/AWjccdZMo4PRbvG8QYS48aS9sYpqUjKts1IP2gV9qJ+EuckstuT
lorsbI+Ck1MdFNJwka85+67Pp2GrxHN5O9XyayHEWbUysde0EmMENKhNBHd+cfJXvShCvruuPOht
q33BrIOGvXQqryrL7LqAaX/IgsbaV1Krb4HKAXZhO3w/zEZ1Hg2ttT3CSnJiVrGaHBQna/YEo2qP
pWqhNh0U3ScqutnjVau+4gcQuyQwC2DgvYVxoaoHN2aZeYnycnyibuP4qZGibg7mMvYwaYcJVnLq
C36lExvk5jTYr2K4MDeTMvPfg3IoT9jzl8G12mF5VdJeeWWfLR5bEsNe5VSjV1KAypQYe8B1J52o
vkIITjYEDk93uAWyra0HywFjbXyTBfZ8J4ag9IZKCVzYJRZ18iQRmwhtJkTrXgCX0gfVCV1bLtKv
iq7UN21d1GeMpF23hVEakMGWTNeyUsqNXLER26SKMoSUCor13Rx0PAtzbB9xPzWJO4Zq9RWBY7Vt
QUTHLq095yxiUV23RAG5KYS1b7ZeRycZRd02K0Nr44Sm5pKSFruDaXWJ30DCS9yKivJX9jIS0ibQ
OAwBMtlnS2T5hR32/qyX9RGoR7LX4jr9qYZDfzvPtunNKV3FRYzROcun5DgbWgynLh7pIeBGstVE
91o1Z6jNeoKmRFxHgar0iLPSaNMNjoluprWVIzo7+WsifaZlIwHZwgWvwodmd5S5drGcbcMztabe
dfDD9cPccCjeluZArwIJRsreXc/CxI1su96rzuT4SRqhd08G/GtmoB9g4Mc7w477szqb8RFetr3P
mna5BxsfwWYanCEmszybj4QlhncEPijeIivnKtVbtGtJ/CCSVFzV0NJ3XdWoz42jF6fYrKRfjnOw
bRtVrDzzoj9OTVpvwPQ7zym6++0EYvwbXKd6vxQGMmZjSSMwzHP+Je6LheW1mK8DZZigMCud7ao4
1Y+jDNA7L5YvZrvfLJOp8JGJ+D7RpupolJbzPA+DA8JDTvfkP+gFmV52fQ0RhyTiIfOqYbZ4Ih0Q
lyKsvYV62HVgzuTdt+OxTIV1Jl7AJlfaFhtEF0CQ47zvXDrCNtkhJOUdO9LRztJMmgc+k6+91ehY
gVZKMGcKZDkaMLwudY6qHSv7BSzFhihi6xHHHnqGMHBeJpFM91OkLT+qjJc5hKO9rZg071Pqy9e9
WgHvzlL7POeZeU1De7gG3mF911gFfjiFwqsL8uSlkqm2+/NOxzY1/YwQvnMQg3GE9TnjVKqcaNpb
cCA3bd5w9JvjAcyDMdKtijEXPkJNYdNQ2N0e+bfjxbFan+wqnG+UNPcdvZ1ue6iQ95AG4lMwJeV2
oLC/1SyERIpmK342OoA+VGmfak7DR0gOr6M5OZAHgQh5qtLp+8yUd2YOLseoUC1psZmgNgzz2yJM
A0SZeYQdBa/+ctOVi349ovkI3UKUbBaTVDqla0ILz4no1q8JOhlawFTjU6HUvlkuywPkYlBDCeOX
SzTUTQc8KUmq6pumaTDB/FkFuw5h2HHoAcRwfa0cfZJvgq+ZxZ8tWhsYJLrFU6tH5s9xKgqvq8fy
pFtVvMvt0SFmJhd4KqFcht7Ig3gpVYN7FNNQnGUJ/qYLhmOdtQeSosObwbGbbYEg7EjcVnWO08y+
U6DNbdA41/e9bS/fFngPX8zZmO/gTj4UY6n8MhfLYO6JpUcNDdHtrOYewRjY9Oalv7WCNhIHJRT9
fF0VeGog9ifCBVlYWTdVkjRivwyFfU8xpTouearhTrP5w2xPrKfBGibAIKqDqqvow2HC9teEd6iS
J2drdU6/4QmPkiOiKMSGKi2WJluvIPrWsznsIJJZ2yidQrqBtHcnD4nZcqgWiEtBVRR3VWoOeGUJ
tPKapHnKJnX0ogaCSTkG5S+wpNOXLHIULt0OIwj5Kfiig4eo3YjAnO2ID/cFTy8sM3NQTAAKk8Qg
5DRAysaoc06dpf5cMHT6/dBtAUThxRvqOvXSQF63yZR8cdQi28WBlWDURcHkscqMtxTHh29WqqSv
qZrHj2U1hdu80CV8kWnUOlTPWhsziyvLV8UYEDMZaUfkJn99vgfExnyjZgdSP7I7+qPl76WATCKk
VQiX5zU+mZM+31bKQFUkHCevMGSZu6S06EcRJfU2LIv+NJj0ZNJqt+TW6E8cT15HR+vOKDCnpyBw
qmU7kUlxDnBr/VLV+HtlDdZN2Mnmp1Jl7BP7bJBP08icQnd2nm4rgfvdTSvbeloWjcZlKdUzWXjp
wUnArBBdPT1yDiJnuUqzE0tq9rVfVMcbQGy7hCHmTGa515ThAxF3uMxFiy1ZEZ7ThsQvJzBcBmKh
h9q5UiY+1iFU9QNVR1v3ST2huyY6hTY3adSuIqfiflYzDYjSCMmTDuQ3AjDy+Nlql69zbETqlkW6
QM/arJsLY+AFtSVfJ4S44zxpx5Bt/z6fmpojB2eeXbPI22wE8OZasuMAE2k1q5yOscX2DL1habcK
+gg8E3u6HXF7Vzjd2AU5fRjthqiSh3IAcu5OcV7vxRRDiJfwQ9uhvWUizVyrs55zue5jmsw5mbqZ
uRBY7kYBZI+lOzlN3XJSe/TqnVnbjys+DLpMu7N6ttRKNogtGpU9MP6cCVQpXY55a0SU9aUIwFpH
9KZ6xRIsyNrvgDG1J55ucSs1lyQzW36u9JByInzZdlDAxivHFzPplT2RKdzyWHFBmUbPPKH0e17j
ZE8L1dqC9wvPsGLZXdvOIZXDRHac1t50yKoO/Vo0WkE8X0wzj0kjImWhhlf1rIJSRITKp1LmJcTt
uMKSpJaYwSeUvlNpedZkpwdV13d1nwz44EcMu0TJ4tfeGGHyyMeceVBYzyibbIIhq9RvZ/22M0eV
L18Yd3YgJmqJk7pmPsT9touj4iYdq/lWW6o23zZNFZ1nfFAnScPwjpipcreYQj0vc3LD2tZP65Nh
Bwt5eJc3bEdH02n92DJzz2Giu5NIdjc4geUVvNP6ftRD58oW+Y+A4OsTkDy2MmZv2lfT+i9UqKih
Z6hxRuZpKPxIMQw3ilvbb6e02XMGIgdzqKdjhIyJeljYP/H3nAa+ruNAt22t2ovuNcxfZyuWW7VL
x03JqD32Kd6HRA/IlgBGxT45SLA2SJMZq+IdhkHtx0FO9AdxyehxNTdhj6H0WrEP2gB+GZlebqA5
KOiN8YduKgCsZTSfCYZd4FyJ8UCwmv6kBGV9lRXhfD/EIj7oXarehj0c44GwdPq7faqYG6GOU76h
YToxfYr5ylq0fFc3xvwEoq9zE6dM7o0EsjjVE6P1rEEroY+XhbzWwyKFCZhbBi5ahVG/cHBzLceq
T/RI4sZ15hnJLXx9Pp4eKtTsCUiAWwebM0TbFsfX6Dhykyj68stMzGokrNXBkruEwcA+ve7M2zmI
dIYOYrZviZWFD4OSVocumaZyGwajHW4oWQx35Gyxs0swF5/rLhjPQ6lN21r7Y9CfA6apslnyxz5L
lKtMNyTL/WKyASiFQs2IGib6mk1vLJUbIJq9UolIuW9BI71OQ/6bTB5pbKlk6bx04DtarFpKRhUE
h/RGA06/Gw1pX1GKUohFIUpMpEWC2cHsMU8I52uUm8WXfFA6l55wvCvXNR9YG9uXLOahLs3MxEuW
kr0ZsIbucARyCGur8EY1i44t9hLvySouqOTKyp8ypT5PueMVgyRlsiMEi0KMvUsUO/YGekFzt8x+
PtfVVjgk9XhtlwY+rClrP0Rh55tzVv2YGV4bNbTkNrAVayvZNdLb72ac14DflVuZh+2OM0J19UdM
0xmN8NOFVC1XBKX6SlCRuTEbWxzxmVV0xiIbQXOFziXq7G27FJULatsj8dPatCM6wEGfIviFwfiq
pmGzzTReTjmax9qZz7T2xPNSKT+tIgmfCYeJvw+dqm6XPsx/9EqOvENNy9QzuuJ+zPrw2MoyupqV
gbndkCSsVjMAOmPUcKYUjniAgBZPXrVA2lDWW2pNCj1DdgXoEguW1Btsw84QeI0y1FeDre2Io6nc
rquUfV2ltU/iX39UqV7vJukER0Hu5i4EjLYRRaBuQsikHvtM2G5hMZ56Jit3qhrOLwqZvxToCSCI
lgadCEXXvewc0AnsGPAxFWXQsb7WYfeozYsJ2rsUpJGkeVT76ZjtGkoi145KhbbR5VGYY7db9Ibt
baj3PEW9NA7j1DcILmfTXYH8XwwtHQ9VpdSEvbQZ47dopE+FrTgpucN6hyByiB4XaURHRRXY+qeI
DWOQ2bRvKtZTd7AbdneFzkEgeYT2ERwCoYYbWGgQG6L5IWxj8zgPYbOJbSec1xpyfwh0MWwLPY+9
XCnQWKlMSU5W4n9S1aXyeGjljspACeOLcZ6QbRJgDrKCaqZgzxqVtMK6atLu3E8cF1l2PJLEhx/Y
sTWPHfRXR2unM+hfilEI9m5DIyg8KiMGkW0Z8LwguHJgMG7Mrh23S5Bg/VDIilrwioOSeMEUf2jN
6FcBXtcbIbaDByu1DcGjpj8tZuuyW3B2TVcdjL6PPPyRy+OAENfVI/yR3STUQyhiH8tR6XJW8doh
HTblGNaUQeaFL9ZJ/CqylG2pLlvq+yE9x3VFSGKyKaZ0vLITCoyaUUovIENqkwXz49zoxUa10tRX
FdO6FnoqPRlXV3qRxn4aMxRkhETWnmFSEMF9XSS4rJYwg4ts472Pc4ch1rHfnXYY5p94Ca9dmDzz
oJ5nme5Ho9nNk3ka+7y+rlmRDX9owqrexAGJzyjmdIctykKavdtbAABtQ5lu9Sxpj0JjE7QsiWsx
U45YD6Riu7Gezbf20kx3hJ5MlUumn3JvyBQpcJhoZzCFw6/YMaWniuLLQo+ydI20HSHzUjxxWmXy
Z6MLvSAO+l0yOcYPvifHXQGw25nBcsLHo3VuRbEI+qy2Iyu3Q7dn3gaZWbuNGPQvg9Af7UUzvBE+
/lki6nNReX2Jcy3eWM6covcSywlOYOZXvM19XGpiZTtzMnOGlp2QPnqZCDnPx7rzTWuXp6wNOUpy
amcVhW9ZzTBBIiX1aid+0gjQQ4wZDeBCup9YI7fMdgw5g8M15U3tVmqD5seJo15HlmHfwSqwzzF+
uY2o+mSPNi4/h4o4pJySz2vVm0yYsc9YH7L4OQCPzvKdynMHM/c6q8LsrNYNesk63Kqj/mKHAgpp
wd4hEJq8Nqcm5+Mazb1JuO+LJaZpL/oW1tL6l7M1QFjYTd+dUanuy2SiawBk0Q8WsRwpM9M/wE1S
e3Kyqq3Z1+3e0LT8DG8uuO6izPlulY3QEFaWjuryAKimZQgKGo9MGIWVIlLN+KmjyAORxSaT64dc
LBaoTJhVuB6Q9fMApHQ3hGGIf6ePXi1qIify5JM7i3dwgvRfnDAbz2QRLVb7y4FhwuWihLbE3HX7
IpnDG8uqxrNkTf5J4obyUDV6+juo8vlqysJqxUWk912nDgLXEBUtq6ZhP49S7LrA6mn4t0B+KNb4
ehgxeMpQbvSmtvkUteYF0On8SJR7A14iHZ7axSjveLsQTLo+jvZBwMYnTNTkymrCzKdVX52KMgky
n/POBLdiNk+BFYeczzvoS3LCLKdH8Ds1Ln3dFVNMB63pD0k9ZdQdE6RbrWFv58YkAK0eurOTmrob
DnN02wdK/pA3Q7NviLAYN3Ya0i6tEy2kBcH5aLqPRTEF29oRFNpT0cjXEAApa0VKVWnIJ15Tz5Yh
OWkd04tmW9l3p2GdWqyxSlyc5M5jbUYS3GkOLyTLjedi1sMvClsbq5wd307rUnMpzingo2v4WfPE
MpEvkE6qztKf41anjGZN4QNz/D0VPU+Fau3S8mdr8oAHx2WjJre1We8mvUkQHNuHMGYBIzLAtUSk
ekIwTHon+0aiNQsUTk+aEMpvwu0CV40qKty57i5Lb/iUtfcRzQYiZ4oCfFdI0dfmm6vT7jm26wOf
bv+jAfeDTXhsN9hre09FClxhaHTD1YNaR3B8U366a81SXjVCgalvgUNcpgyg+JB2h4gq9kayyBLJ
yRLdETayBbQqf82TcDzZT/qmZ6NnYtXw4EkPp7goq6tVAHqgXq94JN/KTUM6OKmnQ557kVNkXsSf
O+o1EgseHZU+SrDtQw9jwKV8NVxXIROFpgbiMe2J3lbJXvTnQRYRu9yQg1FrZwG7M1VxEa2aDKbJ
vqspa139OXDPUTHieSrEFVT6YWOQt+tC9o72WBegKw2jfYpb86jBJIbNg+nZ7qhZ1Zhkdlqp9Q+C
AL/dgLFkS7GagCQE0MlOHzJnb4z95Gt6R4BkU1qv5J6kL43o2mfqambqjvEcJptEgzSUD1P7M6BL
cCpoqh2IpxHnmR3PVb2Y1a0TpsmumMPb2S6SjV7M0fPHDRdtbeb83W5ZJWT8BNOCkYDO6O92y0gz
Ko0ITfNBzBkweEiilMJ5KlJq0ll1UwSiepDc1RM9l18sT2xatFy1kOrpmXw11+30GNrmzqo56mdq
9iTGpDy2Jb66NC4i6mvS+eSe/6EDL5nnEZLoJg1fGt5/37NBhQlqbop6s0yMpxlnsxdNesQhoILx
ayDUatcZR+vLn5HOh9TSNDjhDzeuK1jxLjj2OWNz1HyiDHjfN5MWSmyhYy7krlaUyVtRhq4WdbhY
Ye1Dq922KE3oR90FHDDdoo6MjUHIAr5CJftMkLR2xC5eIQIXPBJrFxJQyYUmgwhWRnQX19jLRXZ0
yqAGzjUNCUAu67FK9FeU8U8zemLPbpKBIwIbdUnDwO0A195mS5WhWpSvlB7SaxqR9nmMjfJg1bO+
WRS6bfmilchn1bVJ1QiaCZOYNjQ7fjeIb10q2nC444ppQA21H0FTnwMgkK6ohF9Eo7PLF2R7kvb8
FViK/Icy4xqwslQ7msRMsS4sJcduQn8px0QHdViGr00qQDYHeb9TklbfoCfK2M3kX22sB6E7JML8
sfDtuHx65clYwvnXxx/FO/mfhd8dh4ixus7M98pdZy5RjAKA9itFzpuxmXcYkJwzlfh0l5VEVHg1
0LVH0Mgx0036MxYYNvVEjukn/dB3wgaEFRpcD0Q+q4v20p458G/IVVZLv5t1884MyBgEUDze/vm9
/5O36bHM+c+Hpqb/7+CqYnUy/neW0fWvCYTRX16n9Q/8x+tkm/+ymHrAAv1xN74lF6EE+5eOowlZ
gIT9Ig3kWf/xOunavyx0yGhlGGOYDFYj4/9zTEoclIy7VcSIycf6nxyTf08KKmJdpkeEyCZcFg04
69+TUaMPoKSLqL7mE4ytDXuRWdykBkqxH+QJaJTSFcgOFN81EtADysPLZ7P0qrl6My2pPAA0GFit
KL2g+L/0xcRQUaK0q4YrwoJqKOFDYzoPRqiL/jBLoDXHadY1idMbibTiJslkGscs1ylr/t/QN7PN
Vzz/m3d4++8beEvjuOT/sU9CIAQVBSMg38q7++Jbg2U+ZuJKGzscHHZpsuFsYnscvDRJQybIZGnM
czvpRrtN88mJaJbkM7vwdoiT23pO09EzjEixjrJse/GJouSSTsdEgh17hQZBbYHG+0fs9EbMleqZ
oVW6rK5iM176DTRAfT7RrbFvlUnNq984UpfuBLZattsBftHoToZV2N/nNOrhUiPJuse7aQ+nUOvy
ZZvJwYlvx2KI5b+njf/KNbnU+dBrQPWFSYUJGD0gvLq/x5goZ8FJlmPHok7ZdBiKrgoOdWYDHAjr
qUOTaObFr7KM+jtQ0Om8SUbsGHskVV38iWVnvdSbwYYKEvmWtBErSwYe//D3rRAZHkyZKcYTJ4Wh
82qRt9n1OC66XHUfSfU1NvH8hZ+8qwutynpVdMAoZFCXsk782Vy9eVXFQsmVIxX1eFRyxPItTe24
0kxV1cs7gp8p/TQJW9XCiKddyb5J9WYlsYf7j4f0xSrBbfAeVss25s0VQXS58aAAGgG6y0/aKmOY
vR7SQ021wCmi6RNtkHz3nHFFAjnS172XIS8HZ07g+tAWY31SqRYpx1ofzP5gsGtAiA5MtPyEgbvq
WN++VvT36zdg46tjOmFq/Pu11kFo2qGhTceUwJp+U/37EYrI1E+51bIrbYgUXw5zV0pj//FDfXdp
w1htOwY/UuM2jPVJvHm3wLQz3SFb82gq9PF3tplTak4rjbZnvPBcFeA87EDZ1/wHI/hfv6vLZwxH
iqINv5yFn578pf5KIZ2ppWBVHduwFqqHQ5Mv/d/TESELjKSPfyjCqnXD/PYxs4ahX2O3s9LmcLCs
z+LNb23pDQWlUg27tlTAH4VQw36jC5yHPR0YQ/p81yWNaidfvMZJTB+yrHHKMyugaFLV841udY07
kAh+mIHYbqzaAGMalzbduFjzR60YvaabTLdqOlJFjVz/UjvmuK+pxt0jLyCSuymEr/cd3ZYgeiDR
ZawIwnICjAXbOp7gQh5VZcFn+2vIMuSUTd3/xm/QfK/oOW8p/mSHiKT1M8Phe95Xyk6qaXctpoqy
uFRJO9ACgZDHzqWr1Zp9YofZ7ezFsR8JSLBvKMcUuGhLgzJfaW05POdXzVRSwFPUJaJ0lqU8FJC6
LKpPOtEi9xFZPmR45ymBnjI5mtRBdrQKn0ZSlO6GUZt8c0EeNog+2JFxZ+7DtoxesRT+trqF0yvF
rdpzVkJPMCro/8wu3Tk4k71aNpRHeQxr9g7FYprW8JSVRKzSN7Hv9KR2R6lWz4EYc18zp5RydVU0
r03ar0UeaW0LGZSPIdJBf1GDYsPyLL7bozYTOl4jkZ7LEGqoTG9bbA530u6QcpiduLOLKL0fSnVA
kignzyYTpzgi77ThoMixuNN1YbgWd0IPIpzV1pOFqUYuegf9mwxEWK6ZGvWVRtDSkWoprLso6HZy
NlHDmtUDQTb6kcrC5DM5kXEO/ANaGP83ZAMdWg+FZMkTGUDLVYLv5DGw0+gr8gg0rEwP9BW72XwQ
dqDfKET+POcGxLQyolRT00E71aaBAyW2Z8fDUiga+mS22CEjiHwly7vSRdphmBtnmJMf6RrZK5C/
mRvwwGGCRIL6nMwf6lBhcJ0nY5L9sQzmH1KAKZrMlmyYZG4PShFOp8ExrJdhRP+NuCBP9pGi9CEF
Pavbl2rzrIVq9lOfpThUdjvuYEkAY0Ieeq7XOh7c5C1laJrJan3dzxNV5qqSxdNsLKiHHN4Q0TQW
3ZmYSpGsUrgLCOs1rR285v+wdybLcSPZmn6Vtt4jDfOw6E0AMZJBUqREStzASInCPLpjcDx9f6Cy
+kpMldhlvWqza2VZmZZKEhGAw/2c//zDpJazHTdVxBEwguiscTitk955vXGZmw7+Cl7zze0wnJja
5Gi0qrrDBe+BeB+xKfxc7uAvEUllzPoXYhb3o1NZoUwYMKlk0EM7G67hAU4AG8u8tcoiP8zJPOLo
XcCL0GLFqrP9ld2hiXAa8+Vqkl6wN6FEHMwKFw2iBsWduzAwzbosucniRF3mOHNv+24eLrTW1YZQ
eHAjwmXqhw6WhcF72ZrjmEBTr2IwLeZiGPGm6fxivTrdMBslqtGYyzPppHlx4adTWX5Oi7jUvmSj
qmJ+iT85JTF7Xp6e26Ct829GnBvfO56ceQ+no7+tVe24EcISKa9gVLruQ+D1WXzftxzn1SZbsjw7
jS7JQ9/9ZhyHkMBo4d4hydG/9cyomV/lQ7/cgP8moP+ZL/TISoRR7n4UZrXmDiRzuuT12EfGO3wq
oXJrO0PA0qEWzBPdoi/GPtsxMWPgUeQpVZ1gSl7ugrwx0+Mk4EyGjar4DaNF0hheu1lxTo3E9sJx
bgf/Mql17OiZ8GfFySHemolMU8xNfzkb4B1XkMc4VIBD/DV10OjZV+4HGD04zMXIM3HIH4IltIhI
EVu47LMbNl4z2ZeYjBAR1wVNh5hMJ042YgqxxC+L4v04V21hP5k9heOJpOPlUx2wxBISU+D+XLku
QXE7r8ti5/PcgfXviYXBSBl8Q54ADForiazYhSGxaRdcSKDPzGopl3hnGdIbb6uqS4rTgBpouQHY
9en/Xb8p8d8LpmCAnIEvHGJnn1E8DzYmaIfR91K/1EuZVhEScKe5gOHTAxkEYwsJpWL8iknyovOE
0q1Xk2HZ7+Ac1GdXTqa1q0Vn3ZKmyPO+JG1IEV+llV2XV2ejFGWRXDhDheYrhNI6snexy5OxpaxJ
5+EOdVfvbAxI6n2mQ0Th3R/RbW1rqJ1zNHZF0bqbJV2ESbRYoXvfCKjDA3210Vu5bvMolbb1cjF6
eyfpyl2TpYmXR/ZoF8Peca3JhxGb+s2lU5KPewpmTCDuidia+peKGNYByFZvRxFR5uWclhP/N+9p
P3O/2yaNzCAuYCc4PMppAnvfdMgS/PV4gnr0Yle6bC2mTLEjrSinK0q+U3307YeF2nQ5skna4haq
oW+ENeY67GNpm2SfWmkK92oUauFOEe9oxV9qxGZsWTFDxPi2Mw1d2RvhdqXtgQY6Eil3qdIu/55R
tvRwfErccTQ8JUlfklEjlElRunr25B+1LkgfSMkxtloWz0RvBd24n0XRHcmXikU4dDGKBcuZH51a
xJ8MNQanFulYOMHqhTpiuPeU5Q+dSLIjX6/eTTU90AZohMlsWVy4NuK4XTfoKl4HXfImGOYnBgQp
gZA24YZ+7p81WcUMmYCLN+Ya/UuC4p3exPUe/TVny0x8AcLuhkvO+gdyL/IoEIF3nXmjFQbM3yJj
SJ0o7XCt7wGxnU0cMB/pALB3BU4dJ2Vqw7bF694KQeOG0G/mIlpGXZa35EKVka8tg7nRaEUxGA/y
8sT4qsTi0emas4e0CNrXYutHcxnjQ1YVxsHCSQ2Tb0RFWTrdGwqdAfM2ZPpBzeAOxoRzMc69Otm5
012YFaNtnkl5Mdasakdyr1PCaf0NHp7Os5lAmrDy2NlAIl/gaA71UWK7+KEhrGfjW4069ksmtrXI
X+wFCkCXODXqGW+ImiUeQmNuUuZf/DphJN4nsjsMH5ac3172el2v8RnwFvOJTAYHUl7CgbdAROul
QcKjNoyflqntq+2aDs6ZhxeSgg+fjfq2l5PxHYM0/zJXtnVvxjTDm7JuylAwZtc3gZ5nuyETcsQR
ou+7bZrGzj2ZW8rZeUFS+V/sPkhyJnUqFxBEbGzMc0fklIAiTaPa8WsTAaQPY07BCYX7QXnQbfJy
aO8yDutTkmTms5U0Manlk3k0ZzyQmI8n495qfSOAss4spZAIV5CywsvbkI4L3zmR00MjMa6D3kdB
xbf3b2XXwCptiZf7WFd5M0cqGc2HzLT8T5mXQ1jqRXMrM5it6drYR3AAxVHHXwW31jUvbGFKVUDY
hfqiu+gegBonGYeDXcTfCMUL7h0j6/zQHVq4I4Om+DkAHlhJvTZ3NQavQKTlkMsDv9hnboHxSxkJ
aQ/hPHtYSAw9XA5y0INNa1mcW2OugpSRbZ8NoT20w6XK+v5xJPn4jixmDC+CblgeGJW4HChtSdYj
mWfWlS81XWwMveoY+vZNfnYKXvuT7yvxSdLwf2BDZ35iYKJz3c9xiapiaqN51ktooNM4Zdsk76wc
4QusbVvpLoOpSs3nxHITcciDdJq4v8R5bYK5cEi+QBV+YSrmyUa6zE/Vai4495lxNw4CMqS11CF+
p5hY93go4ILa7EQMQxQ/ySc4xzbc/d4Zw4YW64Fbi9GogtUWmaRqe5G+BO4ONrzaJ6moLzr6pr3l
DknUoY7vNnNfpuNVQH1402X69MnNvIlBNbSaT7NVy5Ofd8VlMRQVHN7qrHVKfp0gQ52J0PCvzRHx
gT4r52A3sYt11uRBG8iSE7FMORhTYaPwISztkpA4lpgwBT0VkopD61b9tUMywpNPozKHpbYsX3lZ
zSrSLbf+UmaqfXLsetrbg//NrCkw+TqDP2y1xbIHypWJ5ioL8oOd0Y5VhIl3kZElL8QRuidt4r3o
6wxNCaFIezUaPf1VLc6mLPut4bTPpLbCXJ99p4g0ZzTuXLrgiAldeqAnb7e1cl6YEKWRISokTUOy
66Y4+KDHpv5R0gNA5Rm80OyD6UpOiR0uPnPR2F3klrRp77MjYnGl5SO7jiZTog0Kc+PZrXeEdtDu
obs521VcG5W+RIVid5erSRLVj+ggVkwilPDMiKxwyxN0ZN6Rrja+2FOu71o70Y8ltmmhzOCXjr5g
/uxaVGN4/lo7y6GiWvhAOz+r4mjRi6+95aWkpiCUGUeNuARDKmQmMZx6d6Ad1YpkS9KnZCBrWNNX
NdmfWrsvToVwk5OTw8inyrpF6uh9p8dq7kb6yKuczkNslauKejv52nRLLnCX4SQztNem0GvvrCre
LpIYEh9TzFlHuEsWCKFUmiMdC42Icm+ymmAS7HiQta+alfyQ1x6TnNaX8SO1jxH5MmDgRiTLrW7p
5mfVd2LfZK0rN3i605QZRnHvz6UVIfvuo6KOnVu9cNDHF0F5hL3xBbfh9hYbduqoLh5v0BRNJ6Ka
E/Zsz7hANyERKNmCpFB/DPOmqqOMdHbG4Jb/wGDVD4VVatdZbt6jDjIPxMUCAupl6kZ1UKJ1YA/z
e+ldMAjjQ4xt9ZWtDJlLCnm8GdoRdtnklUd8y1WkJFVQSDYmjBGUZleoB9Ul73a5sUY7uJy71D3l
cfFMa5x/KGhDwhkG1ocaf+LI4oQ6zLVJcLSeUJSxTlIAiK44Vs2cb5VZZnd50I5XRA/o7WHUlRni
NV092p3WIqTuuqvVDyI0WnjGZdZpTwCnbOILpsmsaK84+KZGdPAsFoXsNza+95Mtw8XzViqMnWxL
cKwt7PbMZZTfW3BWC48Ql5adcWs39chiJIlDFM1DKvvixkSreEvGAXa91kiryHRsFZ4W5yCjNtPr
SRzadvwGfbOX4dgJt9mLmtjK1ivax8XL7Y3uEFQMt20xWH/z0G2php8cfm0VZiozNrlu3BiYoZ/i
9azVO1NcWHbnn+fRtK/A+qwPYjRz1DOVR7R9Gl9UdWLjT72UEPZR3FmbOTesvcQfaN46FIB3ae7X
14NlZE9BKXkBs0X/ngJoUNnHtKvT3CYRQF18Z+tSv1oFSibEg864rG2I+X3Wjit3oXZPbax7W7EE
0z6xtSM6fWOTlJq+S1qBpk9IY7HhrenyhdxruMKJNUb1PDaM4GzCxiHEPopCN58WsBix8Qb2Mep9
bpgvvN2aSL7lBryUdvDQJoUWFpUd3KLcbbfGRAAYWbrlwZg6g+SRQuynDt5aQgbOmkuCA3Yv4OFq
JWNe6mjHeWBELj/MKC2ARByHj+Bd0NI6n7RezU8unkY7EOAKUzWrh66ieYxNk0nd+J1yxo2mVc68
CQQ+rxFw4wBrtCgfiaCbxBeleMupjpgZG5ggLZu6b+yvAfGULxyWIxIoI7kUEFEiC9IQeoRJ2XeD
Df1wgy61uSw1b2LHNIexDS0/maKswZTjAsgoTi5j148jspta41mfktY7WGx2Q0Tb5TwQPTh9wres
n1KI7Qg4ashZhiu7y4GFPciH2TXGCafLzIbFsipPDV9CKcHzRKTzTGk4T9iRpMYDBpjBRm/th56T
9qz3RfUCVkLJ0SbaaN8U0uhIrY1MvymaNnQtPttpfO1h+hRk4KouOnrJdJSlvQeBgePiLnPA0eBR
Jl10Zsafmm3b1ueOKN0OJl3Mv1EijaHwMohbMOFrda8fyw1BwMHVMnjZEkEIskfMaqR9LqVWu2es
t3X3cagtsyAGC8UaIqHS9yIv02W9r0tf4w1cOp+fUl0JiJii8gsug44HfqtMHFaqsNYrOPUZH4we
IWstPHfa1/aZjTuev2ppUEi5iWMH3XFfuMLaGQwCxM6HJFHB2kOjfestegmo1y4YsoaFS9TlfsGj
LiWkgRjWC5JFR+/G0qTZh5WVZgD6jTJT/mYbnaKF0hO/YzOcoWEkRx+Gfn5gcuxdlY5FH7/kTpw9
YrZgAWnGC80jOX7CSzeNKTz/JHPiX69NS9D4F6RjmRdda8wQvq0y1cjpUVA3ANpxa6b9DWKrupkW
rdV3jWcLUJCCWvrYkcdYXfhaAvSN6MizDwM7DbMNPKXmB4dwYZSKxliLZstUIrb3viGJeKc0BSxI
ilk3jirDsClcA0KRgdqOqk468ALJv/h7FuepxjLwu5b1LU3QSIV+bPEjNmAk6662sgdLqb4vhk+W
+sYj28P97mF73hD2PQjWk2FAWL+wmoYbb+GKJ3ZxMLrjLT6OJn2pdBcme25si+yyTIlYvyCKnGvj
l5K4WKRauXlDLZQTTN0b3QezKY2nIsXKrCP9dip7enirn7dZQmvMm9MykInXWkZHXdhlEq1UMPXO
QEJSoLnfYXwY48epCCweXTn6On/zHHddLI6yHXjnjtFQPBEuSDeCa0W1SWNKzI/CiMkli2eFPshb
pvxkCuiPuz7O2aSMXi7WB3JNmmbXxa1Z7yiTVb7F2rZ2NtjHLfVNnud8T4IwCoDFxczT+lRmifE5
zj2p5o1IJrx6RvrEJXRZGgeOwCm4XCh1te06+LLPNfS6DhW6vZgEK5LEBXMJX+w0hk8PzOUHu6IY
KrnD35BvDdgRXBj9MPv4yZDJvUmLhIeJbYdRb2NJRbDLLHci/6LK6ziahIEKdOpaais2vrk71aPN
T9neSM4990N3TmLyF//kxNjGHKl4xnHZ/piK2q+Ptbfm3rgzyyGowm703O4Y947eocfVxuVSE6U7
bpqqlRC0hso3t8EyTvXVJDpRRvk8aBcsLqTCQw/fZeGKPSoLo2ifAmFoWqQ8t8BqakFxR6tpqgsG
Y4O3y3vfrQ+lOVT6bVo0qo7YCJ2FLEJ9zK+gbTkBsIIh6vNs1+hoRIUT5UKxTw1bBy5SF6ZKKIX0
YkbvDX6cnxxpZoC7dtA/jEGFSEr3XFYtMI0MwmJeGvHVxk2/jAx77J7V4Iw3ScUjOijT6MU37Jnt
gqK04XEPSV+pyMIt6cErK963pm1ppswlwbeXR/0ERlRYB2jxjdqh4yQPxMyIFI9wDTVR+fKGsUX7
NPWHsl6XBl5H6vnHyyl78pH54H2AwFguXlpselNMy6EejVJFqQtv9aoa1kxnMydEFLljVbs72YMk
MhRqaxOikcgvDKwdB2jOFmHziLtndXKV2SfXqNMb7JRxRydFbM4HCZYKpY6+UmaGPxpRPS3gj27j
wQ9n4Xo7TwbFECYNNE3CwbvkiFNI+90TEFe/W40DSVlrzdjNuXGw2PdQ/yzvxFCkqj7b/cA7n5kd
U7yirwqA06QpGc2Fi8WXuzHNkUfQIqwp9uZSJfvJ7E3iTsqRzOdNlRRduXfQjKgTHTvjYWhxVp1/
z8F2ihPHgFucndHPGxVh74WHCONfkHXNad16hwu1uu9UrS5N5ORTxyCiZ/8kf4rday5q6u68n7ok
LAJEUydnyfVuJ+1MU9NGto0Z32dkPnakDzg+Ar9moNJmn67i6bq0wcSugzlLm52fB6wIU8rM2s/l
yDyLfPgBMnNJaA/fgZw3bKKKrCnLk6jQoUST7ueHxQwyBylfKXOcHuLgE87SdrrhDSZuMvF1yftK
7EAaVYvonvUxo+2WIjOcnQEk9rnv/HhCbpmXZvjjjPgxKp2rtMy35MUZd07mNsmZm+Q0H2BixkAW
DFPlfatS6V792DG9ziyMT2OPtR46SiKCQkVngVmJhtoo3ZMWyIN7NSs92KltrDswGfIH0g6W/Gjy
KI8tTNM8VIMlxTe3N2MZjZx47D5u2WMiQB32qbBJr4nQlwqi1z1sfUflL/UQek07mRJWITK088xD
1qnZki7XDrUnWRaGiqmJNWNo2puJZKsY5FPO2l6vISNeayCfGDs2yeA/khvplGd7LuCstaJTl0KD
TxzlHIvjRyoiZ7xNqHyXm9gcrfGjlwwdr+/cjEc719xxlY7py22PSnP86EItglkXsJKId8KOxv6a
167SjV2mc0heoCRQ3QvnSYmvALesQjMHfr1oV7ARjXaPqTlu3Y4tVkAYJRsBBREtdDyj5x2Tzv0a
Vz0iYHJk0ubS752qSddtCjKepvvNkkYNQTNIcIyAgcJ0UXeNascN3nwTrhmVVY1bd+Skf+wJbpzI
MnYTXiqGAwEjgiyAh7IxgM2ph3svrcc70Zdj+4FmQsEpNCQCLq8cCGTMc7OqDi3i9y9Fr4ycJTr4
/Yphz0w5DnXV+cYV+FPVben0pHVKGJoCtvc5Y4+/ayQHKjBVl0pc+yCyoubogpXhSd7iqlquEhjg
34xMsQNorpFqMvQpKtvH3oHtDRYwjeU5ybV2vvPbNkuiLBkgGNR+zUPT88BpjkAXbXsg+irpw9KZ
i+Fu0alpDnpJ13MYoe3fM2gSB0xVFWHWMq/zy5ioG9WEiTsqhH6mlrx4HrPPJ3pWrf6cYBv17Glm
3n3VlRHQB05z6noYmaACpQZgZpnqkDYrM3lGZTGln6eAaKEnmPysDfTjafCdAcvcHZRM4/HYK/wJ
rUUrFjBsMoaoiNAKFmdkIoa/jUdo0XcKPItUrPXGHiyRafKyRrhWX8VwMdrdUkmzeHCY87PRF6iV
MQBJU1eUO4KcUYfIhKLrW5pmLjppoo18N6xVx0gRaQsdlTDShPta3VgdlCfmk0swopPp4inbDFaR
Lx+wlOdYbWC1i2c47L2CWIUKCs4OU6jhom9NhKs9HDtjHbJkyyW6LtO8QoXvI8X0ylERVTTRnsUI
dhupPjdO2WWgI7UznfGZqu3bETdalMgISvLvHR16cc6DyV1O41jW8IFaXfoeEZWFEtkxE3ET3OSx
Z3tX/iJjk1ELFYsLKNIa61svLU1d0DPgXUqCr5IPnqNlwRYYuBrEtswbXSChmpwerLBMKiR+gwR6
QYXZNS6ChwpOhdZeW9oojeCsNVZGom6GmVg/bBcum9XvkN3eUpJXBx0k8R6BtyZmSPYbFqBDTd27
Yz/vx6ZyrTtpq0A81Dk86ac5dRjaBQYT95ul5Al9Dkrczq9eySX/TS39qNqX//U/vzZDLXt1+5KQ
3vkzU9RciZ3/nlp695TV8n/cZC89GaBrWuY5I5uj/M3v+Jtt6rh/weHE3g1a52o8uVpS/+2szx/B
/PZdeIsG4AFsor+5prb3F4ZweO7bmFnr7LLQfv7mmtqQVyHK2Qj3YYjy4+Z/wjVl0PkrgciCo+w4
qC7YlmAPQdf6lUBkawONas2xnC6WOHhT9sA1d52oLr2M8YqNOdomXxTwmCHT0EtvZTFfLHXs7/wx
36dkM255+9ODk1dYGRgQSiYANFgSW7smmdbMqgu7WgjjRbPV6HdDUz5OffndRmcC4+VicNH9zuiU
RiBSvJPzb4RL4e5g3zMDWSWzM5mvQ/M5SJf7AMeUcP2HPAHQFjlpv/acPFfCzw6Zt4wM/fx5M1re
82KIl6oINGACNHXdiBkKBiFrEW584AtfWXb9mOnmoXEKPcrjmOIQLA45Yh/SLAVhCT8wgliwnBe1
LIe8LM79TCHFlJJPkOXffUj6SPdACROn+1y21WPQVNvaiE+S02vDXAERirfjfJq3lSyedQzM9lBi
k+1o1O2Pj5UJE9SjA5Ea63aNsv4UaNdza90si19sR795nJR7lSYY0AmZfUtj/2NCSXuGstlEGPTU
m0zq99hBtzd2FzOHthEozBP6U1SD0eDl33BTzMHbn/sKd4kKsTsEk+HKboyHSmiRV0yPo6vuBTYv
m6xw542q0udp8Y6Ln7dhbPbtViGJDEUMp3bBPSrF1ryqyxstWB6WiftkOjwjHMEQuA0fBtneFHon
sEXh+xTBQjMFBZUSHDKEb0DLGuSp9EPVTd2u8vzPEoC/KYdxV44umuCMHGNt0cPZ/kI9t/EmTn6D
rX5jNdlzTLYduEXZbpMBj9pA2ZTqDQ05IRQIPpX9wdXRx7pMazNDs069mIHHSYClL7RQFM+WGYI0
zCdEpWcJiBt5orfJvIfVpJiSbhCgb0wyJDYKLkBIIa9CLcBHnnJEfIwVd6fuLLHtca3CbYRRfonM
alPb8SnvdR37BjTPseBMsKkuy9HC2ExeKQ9IyUlZmjhoOOQrs9hdBgQeCovJMhAeBMd1MGsb9ePS
jhNTTneXdsYJjcctMMYNVq40VJ28WbVFSb4DDn/8aff6Dan6Df0WY2jMXLHEhAwIZdF5tQ39iUDo
1npjJ4OX7P2yBd5onL3K3QOqdupMu3yHFPqWd/zjahYjdQ41uPJvecfjYNCep3Gy9/xGbtwEObGH
VqSpP5s552hxNTm0jHJEllKIz3/+pm+1IT8uzqbqQpvDou4fGSJgRQBLZrKHavuMPIkwYE2FJoBK
vmC98ONBYPkYxCje6+pSg9D154/whpn6+gkM8mz1daddjZnfbLYYtOI4aST7YhzP5DxcJql77HCS
VHa5beLindv9mov2Ezt0vR7OhpwXa4gl1PQ3RURt6YShxTzcmApjI3voIOq+L64Bg9NNP8kcZDv4
CKERGZYz3ee2e5bts9n1h5LJfyEZz8XZzpH1BeX7fdAQCDhcdPl47zf+bjCLg9V2V1XQ7Zdvmizr
sENK5Clg+oX9qB6sD7XCFR4E5QjD+CmfYOIRJh7D7WM32up++uJ2mByLoXxEhQdfyDIuVdeg9tMF
wvBRbvPOiGIfYlWaTk+dFXysEnbNQrd6KNOLFo6T/c3r+s85ORYbmyNs3w4GiJctIKH22R5dbL5p
1HJv4h2T+OZ9ofyPZMXd43DCIuv9KwQHwLR+eqoxTGkwHmgJz/gh9PrvWuqdWspwqGn+fS11bmop
KKSe5M8F2OsP/SvbzKQQ4k31bMth/Aly+X+KJ9f8yyRMx/ddg/oYWIzK5u/yyXD/8k2TTE1KGgc2
EbX139UTf7KqJdl4XJ+UEHQQ/0n19I+cCF4vXF2JqaC6o1oP3tD3R38S7mwWczS4lviUj+3yBe7e
frBLHQjfnozTpE3WhwoDrpcZ8t5NBoXvVFu5dmqTafjiouK/wId9uDBJ7ANaN8tbpAJl/qOZ+I/W
3/+dBuz/3/irdXP790tt81Jmy8vPy2z97/8lCPP+gjzPsUQ0/SrsWivxf4VfBSToOd5rnnuANe1/
1egoxch3Zx8HunJeC/j/WmXOX3RuyGrISVmdWP3/ZJFxhZ8Z/sxx+QVrSBriVJKS3jqUDybAP0E3
Yi+19OinfpTVPbjJ8p8dTT8ug9iR0BPiKfy3yly1dOQULUrsB027aKS+AzuOrW+Yz9yUdvGO5udV
UPvTwfTjao7OlRyfsMG32uWCr2TE5kKqSO9dJQbwQ9ZNnzPN60OvwqCnt3HroZjc2MqIej+9yUft
keCVu9rLziQCH2cAfzctdnEintFlfZRCu/9pffymMPpHiMLrjfdtagWaJNgHrJefpRXGZMXmHMyC
w3Nm6Gw4odVCqW/BDyKoJneMqT92MCacRLttC5PhpkYFpeXzjZ1jfmXOx0IjKbB1ShOuYQMtZK7e
eWivBcPb+8gaI2+DFm7d0n79jClc2qVwoYxYnk353KmNMfTYdQNO0EedNLv5jGRr4zMVDBdsWZPU
lhur8zAmqA59OuBEog1f0r57nOr6bklqEsCgf+CAbG7/fDvf9JmvTxxCGiuYN40a7I3Pu4aW3Ss9
7mZi2tUezwpsxaCabyw4+CS7egfbNaC79zX0wOm9nIn1Uf3jNrk6nSsNuAee8utt0ge/JZWpFfuS
kgBeEO+R9uXP3+/ta4qvPKfJup7RJSIBenMJdDp461m52Fe6fzEoccicYm807jsl3dsKml6d66D6
t3TeHDR8b1Ylco9K5XUq9n3QvyS1j1NukWXbxiqJUay8co9iANRTlUm0ZEDCXd7f/vmbuu6bu7l+
BAP2Btuf7tr879e7iTbew+lN6/fIhiDNZfm0ZU40olRRaof3eU+XIyf1kLWZthm12PiSFA584xI6
vO4ULUGbVZm9jG1ZtMwBGn/ljM/HRSEsMsCD8V9xNPE49wTLdsFViw/72SF5ao8h6nHJlzZiarDR
M/yDi7E19sbgXg+tNuytJNGjKfGusYPf4XoYf2oaiS1knlwGeBIc+BiXmo7DOFNG7LuMOfloS90O
Z1h8DP6GcoNMA7NsYm3tDPWfg1FJOPUwYyCmX06FVm4nrzlKcPvNZOob4h2SMJWF9qBNWrHTg6Te
Jvb8bFd4vhj4h/uxroGsHyxzMrfWKINL5LPvvFivUbs/L+71cZDBGCDaRczJi/br42iqwWdmK/o9
junplmFxQUD3lIZsDbceu1Y9ZbcyDbI9pfZcR22bDnuv7u1j2ln6y5A598NgTdfTAJ20YWXj8Vt5
e1E1auUraHADkrMYHQJLEjZkvrL2MPf8YdsnmA4hIHiENqA2WT4cOEScCOkIcQq6//3Py+53L5hD
i77WgzpP603vpBJ9dhbBDB+nGu1TiaHKOVnERxgNL3++0Fvk9fV+cnRTb/KXbb3ZUydES30zyH7f
6mVxqLsF/QsMPE2BarFrMeiQ21GUX3LWwTug7+++o0vhavBiQ0v133xHjLPwWcOgGUfjpnhBB3YG
nzC+xJDr3rnSm0503UZQPazyU/ZV6x9XihfhyBK3l/1SezfO0KFRK+27hDLDXmw0QO23//imuqs+
26MThWy9Vli/HKbaGNdTofd7XWaw7JjlGghPM8eVUdwaZ7swQllW73zJ39xOLromjBj02jzNXy+q
NeRpzNnU76vEKqLAzS/tKVVYo+G3+eev97tt2TXRb7EtOshe1z7l5+/nTBpCiKLr96ZHNrsqnixv
WvaBM8BA75PImebjhISw00Udiqr4+ufL//aLonSlkvJMj0n4r1d3O3/0+oB10wM+Vg5eWBCWRTe/
8y1/s2hcZLVrPERAkszbmUQwlK6M47rfN4s57sylvs9I6WSUiNCmND7C9Al+NM7/VlD7D8MY1imp
PGQJuKA2UCferhuj65e517q9KQPngUlMuCo+0ixg91XlrVKYI2qW2x7dKTG3vtnnX3ziUybpNjvH
nZZjqv41Gfn3H2p9Dd/suKvCl06BzvSf1as7aLjRJCkPO9Z30sOirfPVUxt87Umqh/Eza1tbH24w
CAEKlr54p+r77WMgMdk2X4EkJgC/rDUvxq+kn0BdnCm/lXAwYxzATLe+UswX4Xwk0Z9X17p2335d
Cx4aFQd7Es4Lv15PuVrCCQRpoVyCk9k1DyBA7zzn330li12B9YtUnIb+10skeO6W8TJhMcZofGdL
/LFN+Jm7yVCfoQNfDNo7F/xHB7IurJ+u+DaqLgnSGumy4opNG29zbNGu277No6oen4TTIgPuMdXc
243vRB5cXodSbnCLL6MwrzBYPAQobYmoEU9jZZ6TTqv47635kHvZy5/v/u/ebZyJONnR09MEvimc
lcBMrB6Hbl9o+b1XzufJwts+Tz/8v13mzaLChCt13WHs9q7odIzyizApUT3F8HHe2UV+Uz66P3+h
N8upKYkkWaA77zPEEJBht3i1XZeDey+r+b2n/Ls39fWcA/0M8Lp4c6BOnm6mdik65LxNCVqPxCNw
mYgbV8J3zsSpH7WiPOi4Ju0Rbt3++Zb+7r0h9xqPCcfGh2Ad4v18JqwpJpPessQqs0ZxSIrbs6jm
9h1Y+72rrH/+E4CPhnA2UyqzPa7yIVjBViXvwfa/qYh83TIcUAj8YLhnv15iRs0fo8Fs9zAEz2Pz
v9k7r93KkWzb/krjvrNAHyRw7nkgt5c3KWXmCyGlobdB//V3MNultnZrn6rzeoFGA1WqzBBdxIoV
c445fHHH+V6Tya2Igge1JrrAcsNzFcrJJZUUPe4co1racZRvYXc6yfSi2gbzqG2VgjyNebovKGv3
o2Dyw03hq7bUEA1kBvRV8/Hjx3d8XrDUSHR8mNqWZEIKz6N9TjJOwaiPOc+v0r6WdfasIIskWXfw
tTD/NNbpF7OKf7Z6VqzbFEtFjsX741/BPfHxs1emvQkMiC3+MVCijHm90qqotqXVBNu5yX4gKr/v
ixEwNJEVC2mW2FmR3dVDYxzyPB2IGIHeEps4q9inrmimpHcSDvRWq4tDKFFElLLPNsgHV0Zl418k
WnufmZPfFJynNuV8jdwn3LS9gsonkhdaODxNCtJROJsX4+im27aV5YqcqnQrjCD2NaNXV+2g7MmV
mz93ccyeLowDv1Bk4eU8MVsh2BsUB+eVOiJEUaWcNBrpwxBl2couzduqEXtI5BHaO8RHAOQ0n3Ce
KzCA7aWpInDW53jdteHj2KOqr1LjMDbjZeigjUsxcfpG6KDzmFGMoopTVya9BXRus+TAMs42vVI/
2PEEAxBt7T6YjRuIc5Yny7hYR+lQfNFmV/ewj17UeTNs5YxdTTrOZY8iZTPBufDtCkWwruHSQH+l
HVJcWEuj4mduiddYptfA/faxQuBpKF083GVjXSznXPsSh9LH78OJZdJRKTI1+FUqC/LRtx4kheHm
qJK27UAUMlIbELphdKfK+DZ0k3v+1Jm5+tSAbLg4I6TYWPYKb798gcJGSaK62hYdB6JV5uAHjVR4
q+nBmXtENm1x5hLftbT46ohc1mnoG9RWUNzeDmk2aArwZZUUmbCnamtK1zS+kocS/Z7XF/FLRzd9
a/cpoUiudZfn+Y+qbC/51YqrUEedH5A3tNeIXltZ8TjdcHpVvJrIRzedBsM4AS07nLlLp2YK5B1L
sJLqgibTjibIycnTyXXDaivBjziiOnSjgpc+j24co5J+4wjMj8mMD7nWf/aK82A2Q3dmrjgxVTgg
FSn+2YIsWo6j+zag/m5hR7Pa5L6Vod0YWguetnDOXO3ykh2Vg0hWlvkQ3hkdh6M11ZDkqw9gzLd6
mn+1E2vDhuPv2qP/WGEv5d67IRZJDBm+C0fn6H7SrSAAocEvlA76kxwa6UdF8ZTB96QvE3tL9WOH
xp2QRD18/IWdWursZclRLQxwxrtFB+2ra5CfgKUyPqSO9SOrgkeE4LcQR2+t0pr8IumvPh5zeaPf
Xa3FS7xsJ+gZHT05jDHOrLYaV5tajT8F80Nt5WsRp+4GM/yZwU7dWg4S6Acvpx3vuhsdIUvl6LjV
NrPsWyXpsO91uZ8a9kUlygvFFA9GbT8kkXpGZ3DqxnJ6gWXA1gQF0dFbYw12VComUtZe8+j0rhF3
Jx6hOotjRcOdtmhh0vT54zv7a0d6dGtpUkKxA/VHi0xdPprfiqO0l7mEKcuos5vuTUXip2S7Zkrr
1SA2x8MJApZ3zF9ju93RXiJvN72AZdzDU525LcKt1zRV8004QDAPG8NySBswrLVSMt03yTfTrOgF
KhLIEI7WwjYsX5PNg0itV/xEXwQEjRV5PJ+MtAMhruFwEqmylYqLPnfBChk6duJEgvVMnQv6NL2H
STxaJW4arRtZO54Qjb5ZtEyrPq4fPr49+vIdvbs9tNKAHLgGh6xH35mVmXblApAC4JBTTAkFXPKy
Aauk6uHQsQ7mhG0Cs99hWqoDqNf114zY4hS/8YMKGbXtIrkWZb635jJZawIO06DUCIFj84vtJPkq
CWOXGIboXKfsxMIEywyBJNxFtHXm0YNtQyuOUhK/tqU9hv7I7+ORR6ZhTRnDS6fiqXZYwM98Oyc2
jRrnLJwJcX5soyQ52otl2WihOrDK7WId3XSY8UmHpANRsS7TAsFsFc/wj11LCTZVFmv4vthZJADc
PQxZnxCUv45D+wSqHymWOt8lFeTEsc7qtVrCy/r46Z5YlZYiwTAg3ghAf8efXCXbsBadWWyBO3lN
mzwaRdAibkdfUePdWP41vyZkDQ18Dwcxdb4b9EE7sy69n3A0DcI68j0cMqgMj7b2Y4JLLXDITVWm
9CKb1GtVBaUjp3UbYQuZ3EuQyr7lyHPbzPf7B4NKAqUkTU7TZQ1ZZqTfvn2rGWMr6El5hxARQ+tw
t1U0w1ZpHV8NXxtoZbyl+KA7TIZnrvndWnw09NE111gqolzNWCLxoafBuAdNfTlU/ZknfGaY45a4
0+tZJOqUj8Dtr4qso7kqwUCd6ze9W/CXq4FFKphHF+7m8vPfbmSo5nZnJNzIYTSbfQCp6iLTzHx9
5nV9t1dfhtEdxBmC027WibfD6LODZUNLSs4pUqwv5kNkm9d2HL32rntLoAncjyy8qJt6p3fOXxp8
0egKrFkC7fXbwSu8QWwGQgavlMOiXCLM4PuUtphHqpe6hW6TRBkU5sdiKvdnLnyZNd7MwsuF/zb2
0YUnihJHUcjYIQoky83Wjb2c1LLpmzDh9/1jbSafR0d5HGV1CQrwTMnzbipdhjc1wbklHVZOPd5e
eliIccbkWGx75zWadA+16MVQ3+gZ5lTTPTPYci3vrvW3wY56IjPOUzbQotjmRQPYQfdQbK4GUjtz
aGAf39dzQx29toHK4SFbw2ILqwGvAWxaZj+tv9dpyv+VkYCrsyxoZJgfzTSQOqra1vhAulaY68rG
YslR0chWdp6udRvbzF8Yj6NmGkuOjlHqaBnKOZFElsqVkfbbbQC9hR4OajL/mlxfdaORnXlDT97J
38Y7ekPEkPadnvPQ4rC6FdpwBcVxXzutr+rt7q9cGscLhkVF/O4cBY6NrmUJhj8YyAsmw7x2JeGF
WT5QHp47TH9Xky5v/i81KFIUOPpHz03ChQxcd7muCb2gbYM1wgbZue1a1vM+ydAjKManjy/w/arM
yT39QIDv9JbQ4x99AWajKmobLA+vixd7uLKSQfTa1vlaC6u9YuaXdbRkN2TTumjFQ9Y3ZzZXy1R2
9Am++QWOvosO6f2gjnzvdYzsJrN3JicUmTPcf3yhJ1YNXhl2cLSsOTw41rpmtT3DOuPmSkzdB2rz
2gvT7tyrieDq/eXQJMQMoVIJovc7mj2x5TNtp9Swtq58jWM1QPGd2xsqAsySxVoOanQ3VSNB98b0
baoSDm9p+a1SAm5ofqkPqVL/dMqq9mJH79ElJ82+7eivZXX1AKPC3oi5wa0rL+rSuEpG/Q51e0lG
lw02WYv6DaYnBakqYMyuH1WfGl9BO199oj8lL6cSiTOYjXETNoV5EeQLhc1Y0pPsNgXMSgYWzqFQ
dUmVMlKSbPvc+Vn2ariDV2Rdln28I0Lotu+M/CJlpBWJZjgQBvWgdYYDk8y4CIa03fTS7W7nQlkP
vZvuepJqtoXg6tN8/l61qXkNle1zSH9rNXLmi+ku9ETe9lvyjD4ZSZZd8pC+Wpk9PrTsjv0S9pmn
G9UMSrLB0zUFYmdXJalSuLT2Q69gvlPa0tdx4HfzuCsrMnvcHAUvPsD6LkpMZ9sVIrgxzVzbopJD
smujsTAtdk221q7CyCK1NVC/VLJ7HJRA8YxCvxEBUUDwLwkjmnRr00AEQG+giy/RQsmMLV1e5sJo
afgp0xWBSMMqSufgDo5Y75O82hw4LHf8mi8MQpdqe6BksVFGafoDnBI4YH2qrtWG0nPxJ0/4rfF/
tdbaDvXk0rHAoKq5uW/UyFqbdqvuhyK8xEvA2U+eDft4gXcWhvZgTOFLkA+JlwwPsWYMB/BT5IFV
Tem3TvqtMLPqup+bV7bZxNPYLikI5Dq45txuDaKj1kQ+7ga0BfAcx5w1MJ28Reizcwm3IqhU2/Ww
b13MRL7tEpsXJom14tjY2EGsxh488+yGAMNOPLbCI37V+jxVJqcamD26C8Q5YwMFLthkCWmdfrIk
6kKoOAxNLEn4MClo5rrHNpHrWy0P7ZUg6edgdnLc5fQSsS/XzToJy8+lg1sQmyAxg84w3EHJDNgd
Gh3xesFVhXf1eVBC6xASy3PbBJWhkIiYkHDqQkSazODSdhRzFZjmAAiwIQqFGy/XGLgHY9ODn613
PRmrVzZc+4b2cQOjTgsmHLIR9pUw2kADk3ddARkXZ0/K5GwTENJDt6WfW3jWXFUXOUcVe0WFbSNl
sk3K0uaPl08CF6eWD+WLRcDTPkise/bRQJQEpY8HL9Td173dvkRGhaUFyXHgFZMcfpAwTlBaZg59
fXD1enBWCsRvoJ/dYzxpO0HDAqN45LfBuK6UAcCHSyI5rufDqFtfRDSS5qRqS/xvBlRRiPkGUWDj
D6ECjIJnMhsdO+RaQnrXOnZsqNKDzC8WZ2Wm1QSXJsowXJKC+dKqgw11gfU1N6zEWGGwn5HsIy/b
hg5ps2CO1GuRSwCJRtOlXqVNkiAswj426kxgGz72ZvYrXSJRCsNa3yqiGxK/akahwrIsqxuF9Lkr
kbv9QS4Rghst6Yp1bivyIZ6I4zLB9EADys34G/SXG0GmnT/30l6XPUjUXg3UO4W4RMMbSmayCaTE
JSH0+36Q10YUkp1eF9+tDj6zX0UxTs3anRtfiS16kkEW2HtNWiGUq7QhzKqw7lMDrFLLDtqlC3OR
ptGAwT0wV7Uy+mpq3kCBv0WqSCSsuYmC6rlqku/NRAiycJULK8vIVVN3Ih4OZFBOnsChvhIiivyu
0Z4BrtGWUZFgdE5CJxm//ITMZjvL8sKxs7tZhbDhxE2xnuGfrth/fEaPIFd2YRNnr2rP5Mi3sEHC
yp9C49ZZvFIgIbXtGLW39Oy+A6cIvFFOw6ofgPdGJmlug/qkZ/xrtxU/GagDrkeIWN1fBFX8qejM
1UBQWzujxGy6Z2nnz5HKnhyXGptktYKr3T6kjnGl5EXqpS2G7lisB8VE9FTf9635CjAz9gabqOwZ
vJYd70LujDa5d0ob8Ik9uV0jPcVWiW0rNo7TXRVgzoQDXkRzBw26VQc6r6aRajfRZVAQt9fmP5Ke
G+g+RaXr1xUxQkW8ode9hx/wM0jCLSE8V2EWXURWtx6d7oeaFZ8wX6yiQRsOM5kwNEup4m1EY4nx
IDTlgtXf19iUTrG1pXl+bYRftLElCzaInvvKvjJSsVhuk9of0uIWPsDOtZkLxjAr7hWNL53UzCej
J69ocraaVd5wVuzbfWstXq1vUR/0zK7hNUlOKzPWviimvDMh6+6ZZzzQ1l/5pr6m/eQLka4JJyxe
XRp+YZRfqE3jbEP33g4gBmqj85KX6VWb21dALjM/6Xkdh0bZTZl5aAMLeif/YjSC8jYJo2xF0t+4
EhCQif1dxxQkcNJaiLCT3fqmM2/NWt6nxfhjmGR/qDm7x/Qmh9Aet5ENcOHzFI19TMCQCS3qLijF
GK3RSEI9i9P5QAfz58dl2Kk2yCJsJ2WI1BIKv6PNQjASwKZMdMoSvbkUfYQeEJ2f80UfbiZdvUGN
+xSaw65z4nN76hMbS87cafeqFlIZTq3ebixriF8KrxHcMwnEM3J2wJz8VHkos+HaDexbkjH2Abnt
KA54z+0fGrjiqRF3rSYuZvmiZsqqPacIeF/8otK1ed1oCi3bi6OSfzBLJQydrtgSkusP8LzmvPAV
1KAf3/X3RanGRYPkR8sHt+9YKZWmeuAG+NR58cHvxcBiFWaJ+b4fSLfuwTEARP14xPcXpqKeIZ5G
p9WFVmT5+W9NGlONarTBdE8Gy947wFoptq/Iwl59PMyJreByLo7phRNIwzjugJLVqQKH4pn2sjuQ
WLLNIwU1ZLNRa/3MFZ16cxmL7q5KArtmi6MumlnaQ9IKxhJ5SQEQbOzpRS+eTFlBxC4kh0KGuZpo
LYN3PTP28le/2yP9e+hjIWaZN0ERt9zNKZsuwpjzA0CoLP3VfgDPjEEX0HEkDqDF//xW+/drPv5m
iABVmhzmw9YI3EcIQRurqDYdXAd9bA8fP8pTbwwtBIcvlO0Tovy3b8w4W+lYFbSdlIKtpqHdsUXB
CNfdfDzMiVnAsjQCOFFF8hyPj2BCvdTseQka74bOs91nPQMV0Rm7SKbrVBF/Wh9v0PMmzY0Zh64z
m8+3VwWDVugkmvEdTPJgq/0hL3tl1zjpKzG3tBC5vXBojU9hHR1swNMfX+yJe8qgnFw72Pf5LfS3
o6dRlsJrKHl8M8mzdjsRBCAwCzedZp75Et9PMSreo6VfpyMJwOPydqipItNobGrCHPvZuqgsAoPy
XO85fBjiXWoh4pol2CJoGPaZY6MTO/vfRsbP+nbkSimYGwQXKaRDFHBOWq+5/fg+nphmlh4Qj5Fw
PLRHR08xnGGTw/cvCaFoLwp75+DZZzsBcP3MQCfezgWxQN8ORSuRV8u1/jZtkpjeRFBNyq2TNp/1
+r6Z0u+l4qxrGV4IaZ/5uk+9Htit6aLjEuFM8mhFnBVnbICBcecAEjatvWkA6i7W8Y/v3okHtOwP
dTTkJOFwsPz2opo4m8EO8skhSfjaLNJEy7z7C0NwJECzHncWHa23Q4wQEtQKB/x2jKcrm0gAT2+d
x//dGMtL8tuzCfWxsCOXCQoimc+xIwGv5w4dTjwQgpeYAC3EDKxpR98rqpehop1BnKurYmqOv/eV
uYvU6S+szvz9ix+QjSqa4aPb1Y8OfGCbcQoxP/V58tobgA1Qja8/vmWnr+ff4xzdMmGGfW1V9PaQ
6igwgvvV4DiPNR39j8c5+Yb9dj3LZ/Xbo1GGyUCDx/Vg8bsj0e5OyaNzRwUnxyCn6pefyrWOLQPd
ZDe2CwSc7Wuw7gJ9VzfnSozTQ3AySQNRMNkc9WIrZ3JGZAk0gFvlkLTFZd+fC6M6MZPRakTUgY3Q
4lqOJku1JwuXqaBAzgT1JOiARkevNXiV2T13nH/yagTnc5S1BvmGy89/eyhaQww4j7/YjtQnv2AT
CZiBjx/8qctBHUOoJS+ZI46JAppbpm6f2sUWHdK1q5S11zv9xoQxS6TFmUb1qetZij8sdQC0hDj+
OAn5s9xSZaxWvZuXpItzM8ypzwWXONM+AB5OqI8eTqk1wJ2snocz5ZfLrnJhMOQiPqN9OTUMEhQX
/QtZoPjS3z6YDAGJEwYsMoaAGkOmat2w6wE28/Gz0U9UrSyXguqc0xMNLf3bcWZ64U6Q8QLQhL4p
J7qJ0UbXBAzreiUqa6MkKNBcsWoba2/RztFCHdbXl9SOvcLWvLgu/PRbDq3EtWbPrHPQo+42LasV
9fChGMwHWNVrBZJ2Y3SeRqK5ZZ1ZIE8sx2+u4Gjdl5FECeASr521Bt3l19bUt4laXulmszb15sw6
eXI0Cykbhkqez/GeKXQ7NRZQHbcEJxAgcEMQg6dEhAWUP2OSbD5+OqdeAiqNfw12NDXnI/Y9J2Yw
NaJX68CK7YQn7OePRzl9SUuyIYUhKsqjCoMgsFY6JBpsR2si/9vxRzWC0X2JiNgvbfHny12mzn+P
dvSF9j0956pktJnsNWFMW0t5ivQz5ebpG4eOA5IJq+eC5/p9Wgt6UWd5hYzFUaa1UtypbrlKm/rM
pZya2KjY/zXKcmN/mzyzflalsHWO5RIgru7F/At+QqK7+b+8nKNXvEIc3U8GA/VGuXLyb5n+xar1
My/bydcApZLh4BGi+X+0OWCtc/q805Y6QG6V4adh19sSSijtLp8EnzObrpP37t+jHXtp0C7EnRwY
LTTlegzd1YwfdHJ0XvE/LT5FkukuqykyEc4Vj18Gu1YrQ7UnXgZV97EibHJHnLl3J9+334Y4ehNk
Byi1V0beBKGv6Co7ZbeKwAJ+/KGevGcYdik+WdzQ+L993zjPiQnb5jUYpisrUnFukFmtsis+Z4I8
PRBRgSw9sB2Ot/mhOYnCFqyiLUduoyBnQ2v9VoeWkz/+2Uuit0ZqMsUB573vWlCFXi0ZP5Q6C8XK
MOq9lJyQ1N1Nwsb746Her3QMhV0MwRDgF6a6t3ev16tI67C8bQNFbCD1PyF/2EZadK2kBNcblxzX
Fkl7ZtD3LwaD0mODXIVQF63M20HT2c1IxZ2pFtJ5rYpnt8yuczmcef3ef7qMssBkSK5jr3DcOnQB
8c4i53kNybzGUsIBYA697jnudboK9plndvKa2DbTEcUR/E65XmMqI9eM76lV0hVoum2mcF5IXsTH
z+vEMBrtND5Yeoc0aI5KU04hAdsmU06hpftU3JdcuVd3xZmJ6H3FSL+dszPwt4t74HjLQNKeAjLW
ybehVFNCImGEPpKUk5xTiZ+6HPxkwhWI7W3U9m/fhLDos7h14VjkpflgWtVKG6xbzC1/ugBe5PUG
Xgj28ehTjuYIbU4zIxNGjoI0bXzHQiMZK9aZ9ejE+waGFYANslb04McyydYBWzS2c77V3Wlt6eVl
rrqX/VSvdRgshAa/fvwmnBvu6JrYWg8B57b5th6mDUcSN5CcvOUUwCVbpynll78wHMQRl7cPcMax
WaGISlUnQIDhKqhijrsNrHkbEXOWxQ7YN3nm4z0xLyF5YQa0cUawPz56MWC0RkRV5PkWpLc3asS5
zDVBeYAzrWuYxaQtiN3CHf74It9P8b94dv8a9Wg27Gyia6eyyLeoEfwqnlG5QTWUsJlz++8f8p8i
ST2WOf/7r+XPfCvJuIjDqP3v/3rzT/8z2NT2R3n9kv+Qx3/Vm79Z/vevH4c/ytVL+/LmHxBAxe10
1/1YOK5A4v7+W/zjv/yf/vBvP379LWdIZsvm8z/TpdbZ3x5esv7le9n8jpha/tC/EVOon5lkWRcN
enKLTOkfiClX/YPuOH4ntLXLYvY7Y8r845e63eUPsd1mmv43Y8r4g4duoDn8pc1FVv3rEXDxt38/
yOC+/Ue/zXFyPceCBr+DSmOKbrImlnF+r37JoIwnK+6tTR8BXAkhdtc2pOQ2PeSxfrAX6H9apByy
O+E6Ftjaq7TDBoActqyf04JP13ZmefvbPfzHb/m3ostvsdq18v/+H0yWDPvmGAYupcZOlivFxPFu
2RDmPE6sedYm6YPHjq3BQzoq5QthBfOutYiTJdnJatedS1aJJ8nXMPy+X1CjWt7ctpDkfTt2Mt2D
NEqGr9QVkNkFmSVfSk2Cg7bBIEJSDceb0BFB5Kv4iXCOteOKULXik2Zl8Vdyx4p7aRszkjxQ3HdI
p/BGuFp6UZXkqIkwRBpk6URk5yMWCUFHfpWXQrw2rZusdCsmk6WYejtZBw2pbN1yqkSxpxrPUawY
wrOsdPpcJBJAPzBS9SoKJJaRes6Vu6SZ2rtcy63vVVzU5sqdI73yOllDHSAA0QSc1JNthGNEhkhL
5qzcGZlu0Y/nOsQqs2Lh7pKRQ3cY77pdeRpi/C9NKebLUdfSTU1752vcko3ht0qGrZUMBZJYyIwm
d4l4tZc0t6ZDkOVLhFsxfNW7KSBxUBolfx8gfBwShM441XdiH8jatowJ7E1aLSIvHkCOwD9sbzLd
aLj00SDTW42SNQYb9YAUflsM7aFICeOcbeenGlrtY0gOQ+K17P9XPTx8cg9HHQAPR1hL0quSXBdV
fmuiS/6OoWREf9XYycxerexbqGESxq2lZOqnECd7QL+jK1/KUaroZ3o32rUFzmt1aj+PaV15iVko
uyxPK6+tAES2cmhWQaJ/yc2W9FvcJYqXWMp1YC3OV8JLwp+B4VhY8KcEopL2KdUayPytetUEHalo
jWt+7ZvoK9IVYjcgiwsvaSFdEk8dhV6fQTWrB6S5tYi3RlwdAAoQfIoY8IrG49Vkd9fh4mARaU6I
Re6MkptCm4WGFdSZXMmmu6BW7Stg+MJbdIWPVIjpN6vFdG1NQx5vLcJOWl4gx3meZ81YRVqikYg+
Pc5RGW6wCVTkj7cByRGFgxHXgM4OVFiO67BpDWLSIwu5XZY89LjOtuQF+oSUgDt22oV8Xvy0B3Q+
yqj361Aqyg9Lwx80yu6lKZLEU7v286BPd1mJ+YnMAZpJWt9dRhhLyoTMHz3qvtpjXpGXLotVoRmv
xM7lvhnZkHt1bC9CinVXZ4PwAkIxoC130x5gCwilqJKbwpXNakCAOLbunQxS/vtEKx7T2v0hNV52
MgnzdVc2t5XVpquy0mqvlLyniqaEM1AGKEhzy1aYmGFh9iTbKcq6MrVxN6Rh/JVgLvVzY+rzJtSH
QSfFsiq2qU1EvJnpd6Waln5FFAgxfVq81kd1uGlNMG5Zbj8BCs7IMByNV5qXtuX1mjQ+N0SO8QIF
TQcyzkkrvy4SlxjnyXb9XNdum87ia0oVk3d1IrrFKnGCKTAmWgBe5JmhZGzsqSdqUdEPIeS7dRqY
mZcQtcOZt+7ei6AjcJt80nUzma4fK43rTWYoN2WgEfE8pDZKg6iQ7pM+Cu1SwQvFBETKz5pMMsdY
GVCiHk20mtZqrpnOr1WI0RtzoixSjNiQZE6Je7OaC6pnEbS3oxWhh6tr+Yz+KXgYJ8ITb/GbIIrS
EINFSvxK9BlaCnVKD+4wjLdZltgPnKFZ5J4N5nibxhExLqGGiG6WsnwIKzd4bHsx78y0dSEAtnKV
mgJHsUqaZ8KssUELEPv5NCr3Q9+miENGTjdxOCU26kW0DUSDu1j6kvGmH0btshyzagI+O5IhP9OG
gLYj4VPZuENnawwOlibG2ylJ0OUnTdn/sLrlC8NNAesdPLTvjkXws3OdKr0NSOh6bqA08AXblf1Q
1EJql5logSt8vLr9apW/XdzYD7H/h7nMSSBEjLdrrpHQmY4QR206JTIIQgzIaxie5nKwvSquDdTF
86M2o6fqim8Gj92rs1KinFUe05ikLIOIyKBMOp9oQo8kM3dlWnnukYrwSFz44M+y+8lJNAnBMjks
j+njX/8X/eD419c4MWWHgt+Y47O3v77dCFmFgcmv37F9dDlO58T9KkR3+QuOvvhmbbe8zWoytys9
3pJgYu6tZCQLpF5DUtmGfZDvkA2dOaF4t8GglFkEDcsBqA3j9ai/Ziq267b0YTciq1ofhcMTseOG
11pa54W0P4y23/26Ff+/Jj5TEy+Sg/9cE2+7l/ZH/pK9/F4RL3/knxWx8wcdKQ7BBe6j5VCczfw/
K2LQvtTJ9An4f7amy4/+ifYVfyBYQVu1KEoQeCzb1X+yfY0/wBNxigeDEUGEjSf0qAT+qCQGMfW2
+MTeTr9XZ6oBHAmC5PgUPR3yFBFykaLoG+N18WthWZYYlu1bAmOob5blJ03Cn86yIJFiqCzYjDsE
d7skmZqVvixfsMZCUNj6tA+sNNzrqWCdI+ZyHdCpGmDKE/4aYk6CvPeqz/D5JrOiyJuGr2USp17I
KjoXVocG1GSxV4Tls9G9S53+M1FY8LuD4UWrBoS+KUWKGJ1+XU8TWdBD/dOiJKR7ZJPLYJCNBXhj
C3MRhCpyN1hiLPCym+AcObL0uohepCd/1QjaUi4U9EE37aA+hkspYcTCIMOe8qJ1a7VdZaFZANdu
0JAaQku/TS2sjkmbjA0/tq/0fpzuqqTCRWDAYNsFy8Li/KpuhoApCUrItai063EpgYAoFxuTqqj/
VR45UB+SgAT3X7WTMVTyovtVURVAVLdENFhf66XoapbyK6EOq6jH1ADldZ6mNjw7JfyJAZe6rXLd
63KRtHcI5MMVRIgvTprJlQYXzkuX4i9eysBhKQjTcMAfQZSbbOaNSSD7pymfPmH54th5UMOrIury
vSS5+aVsCtiaBESbBOla0ddswAhRaLMOcCHt5cEasy8IuKfvlqjlZWxm9h6RNQE3tSJf9bJ+Ueep
MJc6OWo9YdSWiud67Lds4TsmR+EOM9LrQfgJ0dj7wVLcG7RnbMissj6IEqsETcj6sdWV2K9sqXix
C1Ku0rPPsxnkeyfVulVPyNeFIwf7OyVERy6pnX4nqSam0q2xct1FdmEoV+1QEzHejjpBRaR65JfB
0CrJ2rKi9DD3VmL5/Rj0jU92drbiaIsA8zGsi11fKqiwAydLExoaenEfhaz5Hgq1wVMHMfulJdrL
ObSMSwT892zukOj3i/K0ECRIzREG3MZ5tofs2iWwY1KMiZie7FlvB/ZOU/VE+SZXRjM9YCU3H2iC
pReijAo2MHXKZqSDZ9P5aiSm6bnCFVR/7pWsvLJqw9m1DZWJVXTyeVSGeBNrsfjmjElSrbDQzw+2
TAO2tDzAMLSnZ5WSdDMOefuQQDK5zHMreFTL3N0miijgdoyWA2ae8KQu4ZRbcE5zn5ZNdjPKOP9s
THyyWVeql0KdE2Mdd1NS3ujToPA+5Ea8KUiNfia9Z7ztCl2piK2vcWzQbwOpZedKsu0VrCCVJe+a
ZvypBoTrTkOp+aJlY2U7XbaaNU0D42p0h9gh3iKK8pssCD6n6rhSeqHulOGmLsmPIAQq3SOXiNFI
5D+6cRjxjhjFhuD4TZ5g4iS1g4Rl0ok9hH6ubxbm+Ejwn1cEiS9Fo6+LPNx0CSTjIA6v9UR+D1Sj
/dFGDerD2CVRziOACUjahUmOlPIJQIsTxZdNqJD6el2ZaWxN63CQczKtJe1ZTP+2Feic1Mmh6p44
qLqY2Ul/M2A8fG/RKXy2ysK+JfrKPNQ1iNamJfZEsfwubB1088RtKM6c7eraJE9sbqBDLD73uyS2
vrXtBMZldG1fx8tURL27zkyNvM0w6p9IljWuC+UeJvJk+4EtqhXQieGqI8fWy9iuXLpOGn1J3Da4
gVPaXwVxHl51XYEHX8cfv4kaZUlClG29loqxgTZ1OQ7xZRuIC6drSm8ci1d9MvYY3SOvlwVWz6rz
9Xgk1y1oHlCvayvpqnfWPCL3LwjmY2vmG1ad+jIZx42S1umhrL/UY+THS6JaiFrxAhCdc9tkAZyj
qOpv3CRPPYXd8BNZmh1oTkS3Hn5WKJ1aoipeywn+hq1W6pXqKEYvEILmn1aW8Rpn0mpu5m8Zkq+x
knbqqcbQ76uc5PcijoyfvYBeAW6NGLl+ulvmTJqT9hUhLT0EDO2C58XRu62W+5hIPM+qa8DSqGQe
7bTeYK7QbpxMKXbFqI7fddKqN4OU9q0bTtphbOMHaQIKEs1UPhrkr/sltFS/ooBcoeweoH404Q7e
W7jm/a18LUZJ6BWt+pA1SnnfS9oo8Vh/VhUnu2j/H3tnkhw3ku75q5T1HjLMw6I3CMREBudJ0gZG
SiTcMcMx40bvHH2x/oFZ+VJiVpUqe/esKxcpLURGBALu8O8/Nqm3BV/5zj61m5pKI7WAFVdN5P56
9IbS0iKa5Y4+rke8W96uLMWO00GGKy5/SmpSfiqbWYxz8gwLPqtrBGXcj9PUbXJzCZWKTw75H1/B
vknqRRUeWnGu79xl3BP5UUbV1O1jWmO3oggY+wwUe2b2YOdDsm+oFif6tpl2vp35u5Zn5b3XJQ+x
3Si+5taP6A6/G8bl8zKM2d3Qpg1WqJFOwMEpDvbQik019WLX44eKOIMQgGDj4MEmhR2wukym/rKl
KxC7kOmfB2lNYglRRkdYu/lcQPQdCKFVm9jmOaaTrYC7ebbCMvDStTc7bGFhmDsHHUWHduPrPfBD
N5e0zcRXWWxcUmvuYdZqh11mQ3b73kCZBrW2GxAsLCELO1WXgbdNyy7t7c8LQSiWxHbV3NKqSNVc
6Lamk9pnlDnaA/U8AuguNGejFlvhUQz+qOVJxjTpD2Zkgkl0z21bl1dzUF2VhrkzgSGyvHxk63ZC
26WqrRs6YztJjRw1JVJCb0zgmsF+MjrTQaAiDlMQXJhec1OVKeFrw3xhVTZwfiJ4AroXSJJ2JHxF
JS6fVEdYockjWmYVEp9W0jxU7tIRk6V84rH6DJaD62vCAUfRZzhzW/iUKKq5UZy1IEf1jq6jGJgw
Fuf4746lkNsJZ1k7qG99nYiLZAimO20U1xxFbyUW0J1gRjpoWaVHZpuRc23xtHOjHJsQdYkI/i0/
zr41lTDusGIylqznNJHSjTXGzoMz1iJySG6PkqoP7kaz4FqOwasT9OVFT3FgOEz2N0rri101eepG
U/3AQyTuavxl6QmlqU5IQW8PoymiYJ5luu3pPseG3uMG6cKqEnK5UCox+6jzpyq7tFtg6IusbwsS
eCxnSr2jFtAtGwoZz9rRnkU6PGXBKINv89zO+Jj+My79OxQC1Pi/mpd+K5Y79d/kTxPT+0/9fWRy
9U80UEAEICRD5uXpQAZ/H5lc4xPoPb0mxNJSNkvA5h8jk/3JWE0oiAzgy2EhmKZ+GJlQka8jDoQr
U9Nfaqp4V2X/CAkgOuZ3wFSS4oFW52MMmpodHBIxDc2SQcClxDLYtpNWU/wmgJAm51vhOg25fwFx
bYYaHWIAWwLr5+pcOl5Jg4dj0wreefNNuZa5h5ikaD32E3Hi9ixPi6sTsrfQ+tWFZiz6K3NSJ6sI
6KnXzOC5jCUxeMRn3WqS6J3EB7m6aGdRkM7bIXFrLbdaNsTncybShpnNxmmGx8Uvb2Smk4Ol5+AR
U/f39Ny/hA78e3TY/9zuFabtf3VrH6rye6+e2x+RgPcf+R0KgMuiMQHLlM8fP0EBfvCJJi5uXe7g
DyWJBq0ttHLYuB/W+dwzuOV/v6/NTwG9IgjtAaZWUs3+K1DAn6EuRJJIz9AT8P6g+z/oN1Hb9rnI
XHc3zeO8heYIbXyr552e3lhai2mYHM0+dikM8AG/m6d4bNyzJSnM44CdZ0sbPIqowtoVhrz94Tr+
A4rsnZ3/cckhKoZOJAeEemuXlKcVDftBtia9djQ7myPJMhrxlzwuY32jFVlSbmrLogN9bJNp6xFg
dwQI1/NTTfADbmrSs456rM13i6Suq7H69l4TQ7vGYrZ2ZGsGc4kxUqXddQbBRYmQ12m1dPVKstmg
01VhEpmWggT0VRy/mtCUuMaFgoaLOWKcNJukoH/9Uf9UtsRHZZMCl+AbMMiVWMnCHz5qK5SFQ33i
iE4o5/1U9t24izmZYjc2iCeQvcSOry1HXyNhTWm9/FI4tTaEbAHMwJRWyAutM9Mriadz78eB/x3H
qsHEUf/Gkf8FNtVChAL/vwbd8cdHEaYAwhj0QIp9Oi7TdVp4xYPvBFuFRe8Mpne8GtTsP0yCbvFF
DfbVEtT+MV08dI1Vl/SbmOTbYxdX8txd5nH3i+u43q0/3TK8IR4EPEOA0WCkP1xHt5rcnJHY2dV1
291VXTNB3ur+ZjTy4lDIbHgEyr+y4Qlwh0OmOkj7fqHT+S3M6cObAJ9ds7l4H8B2H5YUHkJ0Viqx
IH9cLb8g3DehDbrw621qZ58Tem6j2crnTUsLIt3nrb3x9SoLveRhgfpE/1ka51mzmEybo37SHLKv
mnHcWMMCsZUM1S2gUu2ElTYfXLRHO7d0zGtLOuN+sg2Ak/Tr3CqDvFs9fSTVMQ85oWaPLWKHTeHh
yB8pSVbaeC9cUV80QIGhPZvLQHRhL++FNQpOwYmJcnyovGckVIaA1THzXazRiYlLeSgjN+7FQ6FT
Nq8r/URKz+KH42BDZJT0PYbESAzHSgWZFiZzp29SpM9PfczxGgUq6ueCEEUZ0rMd7IJB3wZGeo+T
eYqYSk2DYBr720iNylffyJqDbAjWbY3OZdpJCFpRy+SxluHUtmPuAO/VYixeNS03No2ROaS+cH3H
TsWhV6cw4wPim0c97WaGaEpYFkKPvwausi+1YvU/4pPYd2Yfb+sYSEo4U3XQ7KZ9jrFBpoUsTz4u
s10zD8VZn5kkGQD6hcTnqmPRVpdTmRWMXY1zKjsqYys3d8GEyAasB42GUXftnp2N8kQ8oXgNujzb
mn4zHA2tvrMoqYgKBdYJi7yDox/3ej8vn728qtHGucEV9ccKkeYggUnbIPjajfEX3x+vl1kfms3Q
O9Z9BdG3QQ97L8epziPhz8F9Sl/DW5LXqTiftMC9xOI9bQJCUELPLClp1bAFh3PGtUdGM10mpoDr
05RZ3LkUp0dzabh7R1VyzzR5Nxd1tcu8Jg6NlkoULC15FyIuvxciDSIAgbnfEM49hXlRUV0q+RIn
sxK7xpiMIwiUfEWN4GzoDacEcvS/zGQpEo05fslFoL3SIUXYxNSKa8eqvk4CJtOtuMgL+SdbN3Xj
PVjuN22GkIun4Djlo7qK5+6F2dHcTEHtbEi+0DbVYK4ds8PW0cg3ocih2S5p2UaSG6loJ/N8WLQb
0aQ3eey01xkjrK3c/phni7VhNcY7u4+771nuXDtGvOxpNr8s6LDbCYRUxKt432jGJhtiTNYcDx/F
hizooQkk35gp1cYkpzyMRWwQ79Ga59MQizcQvvaSvUaHrO2F+WVcCMepjMzdGXE1HOSCyG5TLcqg
7yeZj2pUIBd18Mqjug2JkOg23JPjVT1nyy5LZXc/55ChSdXY1w0RnSVcIAEv+RDVysFBLIGnT06j
siJ0SqnDX3rTV+JSgheLNspjOgj3s4Z45ytpjnY4B7Y8xQX6gU2fZ8RPSSoDDk673FZmsFwSNFMQ
oWq5V35TEis0PyUtnCP7nXNqayM5kKYX77S6sh8VSSZ3QsRnS5wvZ1VRxDfZhAajK8Y1acc9GGuS
ckrHLBGohpkesiAFqHNSX6K2qET/lrFGv5r4x3zyM0wwwGRKDqsXfJd3I7jBnBIwOFJvnCzpvlPk
zYRgTfVTX6bWMS1GlhtZBn0+92+6s4yXDM9q6yyqXCgdzZE0JG6WXgdtq22gRD6n9XxSMaWdomUb
I0umCXXA7DPhFoT1U0R/PrdaRs964j5JjFX0fo5TeV5hAwUPkV/aABGJ0sQtNRnNpZ0k+QFIphdh
MZZnhoeSxfPH4H4scSCz7xq3rdmtdcttu3NdwRFKn4jlQq0i6shJ5FUiemtXefKpQsAqI0Mb2joq
hp78TBu5dJcMmhnapaH26dK4+8rr1JlutVg61vmfe6LYoBWtklBLchdhBmnpsi0iaqXEsTCa9POY
GvJBz0r9DcZivAB5eUHsK889J6iPdqw59xMZSVGZBObRGNO3wG3u+jwg6zvoPy/vJyqR1OVO4IO8
SKjnOmZIrsPKqr2LxoN3LGlhvUrd4qZYOlpWK6Amw73jMSXOLGuiC5hg/WMeBDvdrOozV42n1G2v
vNmxtiA7lzUIbKi1lbPJpFJHry6AfO3GOGRy8c7thHrtQb8p+7wnxGqsQ4zzuBeU6rSbgVxZshXm
eGNNcop0JcUuTuOXkkinSLTkt1NOmR+SOYEmGeon1STVs9E09YM003wr7b6i9XpQUdbbzh7pF/Vs
uZ3iybWnjUUkzcHNgoQFapvbKRjE0RaNd2N3vojE0uS7IscKYBZ9Eea+sq/6Im3yTWNzf/PkGw7k
0GTnFSe+hzkoSR0uvO+TqRHEIR/6FK+CMcfXzTDUW5Xl6dtsF/1FabvFRRp78uBPTgmyFY9IbMj6
fC1bmb95ST9eNkOTRKqm37ZERYAyo9SvpzSoWxznWlFFJvmnyG20GuyjHeIpC9OkY/sy8FP0oZ9M
A/nv4DFqp/Vl658rSQrXtvQTFATNMOs2qoxBM8janyoAJ8KTcutulp5C7SPjvCSqv2lENGqyNEOn
74hsyuGS8n1fW8W3kodTftEM6eidu4WF+cPwiav/Tp4RPIXEuq1vdG6g6lDS6WPv64kK8Tuw5OJk
xHnP/hTAhQyu03WXhBFX7iFp2lUohP4wOer61Lg7c7TUSH7SDLelkRTFkcdrAeHhVS8Me0zeejWj
sQio1b0zK85Xl9zmPQOMIsR8EiVFZe1EyNDE9TBp2SE3tY+tkQNYOpyIEzaLaDHn9sk2cuOhV1CL
9jDkl3Xps+nODu3isgie9ayzDkhwrG2Z+h6exGFpPRZsLbItpCbVf0SdwYLhQNtYvbC3/TIj1xva
ZKaLwPJoWDHQYmw0fZhg/MxqqbaCsCPSlCoP0rTruvTBw1GtXRd2b5OG5SbXvZDZbkAWtWWX0c+X
XrcuLJdm4Xys4i+epDhv25leVkeDN1TzVgjJ3hSoFPXCVCO2AVuLz7RCj88yQEc9cu22PNalO95Z
g92cmX1PJpqpA8MJSf+jsvv5hSvAOa0v45ozaOreVk0Vnwk5cDZbCkoZTFKWqPEaXurWlGf9ohlq
o1bAwjRj66kCC/3KWdva8k+WF3SBy5ba5pKgFq3yXq2yE97Gk6195xXjnVrpsb4qH4tGVVEcyCfJ
dcOFP4WumV7SbffUriTbYlscWFfiDT/DtDWz9nZoButUlTP03ErU9bRuhl2pZ7B3blPeEkcj00NK
FCv83mhU5aGOhxhZUpJHKa3malNSu+GgenLSs0J0cbq1vX4oTnVOmpET07d+IF2IXC8Rd615I5eA
JspFquz7GBA9pnO8/A5p1JzrPrmfoMHFUa3UpYDDrFYyc1o8SdKbW99rFaXwMHXNWT1Q0LDaHq+0
IYUS7RTk6FzDk6bvnKmx0qfuO5OavrOqiAdhWE2zfB7HsX3xg3b+TA2Me7Q9KNk2U/P3PE2/TCtd
W70zt6KqUWVSePHVlRUD8KKyBEdgZz6n6B+PMHfJRQfgdZDxQHSEch6slSgee6rxVmGhsUoMy3e1
obsKD7Vu1SDaqxyxpFyQfCtXQIQQL4liEVc76kVrFTIWKBpRpKWXrN/ion7XO/a8/QTy2rKwa8EB
hTCpnG1QSRID7kYFuskB/STMjX5GPTyaymCVV2ar0FI4TXfVrOJLrgQ6TPtdkxm/6zOnVaopV9Fm
jXqzWmWchVVpQZit4s5glXnqfndjxQkyzhKFQaSnZfyUvYtCtdLv9rCMdeRNfXE1VygEIFFivK1u
SAgxYHuawyUMg7Yh8psWBJiQKfC1CIWDsTFUoIV2rb3mQz9dZW165LnLLheX3Zt8V6jW3uAHh961
Oy9SWucSuVR21aF717bm+RjAi84ZdU1Gt7TH2q7bC675W6lLmI1gdg5W1eobaO2tovU09It8M7aW
OGpO0N0EenEzdjKPssx/Sppm2dhtw2HSUs9Jm4yUtrK+nAHJUjzlN1maGRcTeacPvrnggrVXiW7y
rtbNAzsmWTwodiSJTS/sKAtJOFmEXgNVMKzAkRmr3qQ14GbgMqO2vS+OCRtwFNNrAQcLLHne2VnK
zQ/9kbgEvwWBAENa1cMy9dLHfBTpxmk4cnL4Hk7VKjPmSJed26v0uOmm8Z4WyGM+deicm/xuJpM2
NPNi3sa1yzCHxK18qJdqisTkDQPiztZxCbbTrLtuylYWhDBXZNB6ocJJmepckPIemg27eTAbzuWU
2uZa/mRtW5PMLp44EAsp7iOFT2RXSepeiObxnuGVHuvc9S6pVk1fiqxoz4sxGLdQnYIja3tMEJTa
mp99iYnHdPZ6nibHQFnpN6Sx7ZOY/HEnqW175GBL5XDQG6e6GMbnfmnV1TI3baRb+GXXd5aJY91J
i+LA0uL4QMjdN31M4J6MufZ3hXK9YaPzMCC5Ds3jao2NAMuBlVMzfX2HT/4SnPv/owGCBsUfcKbV
ivF348Tq4Pjf/+tSfntmsfQ/cRfvP/M7xmuizsLbQGg+XhwTouK/uQvf+0TyNGDQqiQECFt5hd/l
Xs4nhHwURkItIIf01wyo3zFe/RMUCObj/ze510dQDKEZkUHAUbw+oq8POKqXUx8J5NXuGIoakBPH
ucN90O2suMx+AX79SaCI0YOsLpSftovA7aN5rHKt2oEaUbu1S7YpOloAsj2s7r2t4vPO035TJ/5T
NPLPL8clBy81YX/IgPvYlJDVuj+THKt2bm/d27G/tZCFMQyn9KHN+cWS5skvEMYVQPwJ21u/ZL7h
tbmRwJOPQO2gWkfNPa9IPfW6CzfbaWi2HIt/lRDy564gXgnkn/Qe7gT+/0FC69SVSkt/VrsmidvD
Ki4hkQ8FP2msycyjXWTnjtd2986c1ugDBtogxzt+09fBrj8Xs7svOXSYoTcGS0jcyJVux/XWNeNj
ySZ26/RF84vclD9nmq35L3oAlsU9trITXLsfQOzUxEGbB0m+S7Xuwq2a01y0114SzMROMKgIfYgG
EP+wYGbZLmM7/gqbhpj5+ctZ3wD5+iy21Rf+0Tk7MUxjxvTJpTIU2a4ljPB5BeO+C3hGSU8rQyJ3
joGhbfxe29AEfCLK7mxKnGddH8+rZNI2nb58I9XrVy1K60f/6baBwAh8E1Qa3Jxl/WEJSl9gQ6D9
fRebGSGT6IUY2RMLS07XlzqgV40f1qoBLUfTIXmSTADrF44j1/94ediILJNsEzYVPLF/CgRaQXhb
ykDuCs52b1o6O1+XeXbEJkCJc9RMTDahUEt2Xcq8+KLF6j4elyWKtRLgqzTHYTvUC9fN9J1bfqw+
A3DRdxSK2DvLG+77uEdFNyRy47NCoqCu7plpjrOTZJ9hNszB8u9t8sC1LTisjfKARK8RT27qmdsU
QrXe0hOy9Cd0hFD8UDH6i1t33nCbWLnx4pc5JpmYqjoejFrwRTWye2r570mrYv0FXHGsUTeoxYtK
RgzETHMDP1HKwuS8Gc+7tk7R1feKs0TitqtSUi+JFC7KS2+cOS4IuuNooGNUI360j5uN16rsuSV2
9FFltKCxDWXWtpmmZV92+bzDGabtydiopiekpka6n2N9XjmQIQCHT7Oj56p1qCSD45Jo1Wo7ZFr9
WvBi9xZp1G5Y+n5+Eg3N8HWmd2/mjIMpzAw/vszbrsKS0KoTMbu6zeFybpww59hghnJY6I5Cmpef
LOV1b8IcoQG0Kngqg3itoJu04nPpufEl8bvjheFRlDUYuXnMO5k1oVbbQ1TWtKxuusynCVNhNz4T
ogNsGuxqPpR5jI6llRx24ah7okpzqlQ4m7mUsQrEJf2+HX0QET+phw3konsKlpYs6jQ325daCu0q
6Z16Pgqq/WbSlrEJbNEEgyuoyV2WDQ2vFPhyLVdBpA0wf1Y0ujoSHVHzIR0/Q1+CsKqZj4wiRnYE
IMK/JDvhbJB7eDvsPNlmaGoEY2RrFv6VKeUMJkngZxwNVgYQ0K9kOMJQQ4W21T3YiZPqUWy107Np
N4hTjLQmCDlTSA62w9LNycXSJlrKTJBSmpJl6U2c2XWAtrbQ7pPKByFQnE2jsuFgu+2zAceBs/gA
D9BNLtl0BChXNBR4zs2k0Ud49FegplohG+XN9qv/juO0DfB2toI7C3jcReP4Hf32QD9qBYGc2b+O
Z8SNVp48oJK4yFbAaAE5qlcIySuL7FzLg/4gLVIaY13VOW4qYKcYCCUsVyhKrqDUOFhEcMLY3swr
ZIXJwtw6K4xlr4DWUuvThvDX9FyscFe+Al/+CoGJFQzjRIkibAmqh3aFyqjke9IgrzamNeeHvAbI
KFZoDZHOC+3peK9W2C1fAbjFAPdrV1COXBZMEekK1U2ADyxW+6YapjPK4rzzcQX2NCH6KF/BvrRy
bQS1RF9VlnFJeqm11cz+ajb6k7GChQWoYZIW0zHVlbFdRLccFsO/I6UHHRF2m3DQUA6VuXalVxYz
upGI7dR2BnXUXnHsKr++oCO73FkQZgQGAWiaLhVdZWNem0CdKWEFR0My/zsrDqrpRg1TCTY6pdlL
s6Klemktb9OKoBbsm5/ViqqSNV5EQ1feEJjromku2MmLFYc1VkS25ZpE9YrSWkXqknPQU3j+DuLK
Fc+l7HZBRD+rOqrfAd+xyJ9sR0dSAhhsrqhwW1cAxM5vYDGDx06tCLICSh6lBFSGAQruwW7sqARy
LjMDFb3zjkMz9FyiNRS3GYVXHmC1nZk2R6OqPHedDChbTxfnqUFaeRlTjnYuV8ybzIHmbBBdH1WS
0UkbK+9ozeOpHpNpV1a5vCwLeTNK/JWh+w6r1yvCThH1eDmsqLvQfEorO9lChow0iL2D8+84vblC
9m5tYJlM8mOxwvkMrN4uqdvv0C7exjdVc2VQdVUydenaHh1Z/9YhVQ/C/J0nWGaVH7yRY0VYoxjf
wDhMpUi2uj8tJ3tyg5uyCOYzw+0akort9MxLPetRsFns6ZwhHBwA5mR0EwATTEa2UhrjSm5gHVrQ
ii23AYm5B19DzNZXLoOiNUEJLSs90qxESeJBmRRLPX/Ora48y1dCxVXd9DXP/WUbkJ9dhFKrrFPX
lbAwQvJc8et83tekm183FafCdCVvyKtadsZK6Ph53m0az0q3A9rgbbKSP4iGoC1NnfAscyWHEqzM
u25qq62RLlYYW+IL4CuFoG2/oJZcmSUeyQjnZFDRraaak17k7daXJqnXU8zvF2LZy5Wksq3mZSiX
s6FanrMa3hRRdL6p+QjACPFLy/a09YvyNmithSHWurZ6c5MLoZ4L0qv3BKxD3tYVoIRKtsYg1fUi
3CsY17ty5dWa2vyWWL6KBsCErSjXNP84oxDCMDagPqhaB8xmTppnOBSbl3nl79TK5MU6Yici2m0k
7HBX8b7Mehg/yXM7d8dyw+X8WsxCwHWW2P7rTns1vfQ2IeY7CRZUt77It7XBs41qOvnqNrVx7Fb8
XwYiuOlVPqEq9SfSybG+oT7sbCsk3k2Fes1Gldtuv0sBBtw4MF4AwPpn8c6Czg7A8LJSo4IuAnSV
prI/c9pwL5dFJx9/MFkyh6lP8wepdQ3OAajXeuVgMZpY90Pu983GD/rruHP7mgpWW0X5SuWqhOQC
4JL8jlrA4WugNIleVGU9OT+VlOdM/WhRZhF8WbLFtaEZ7VwPO83UH1kJ8ohJQqkQbXLzmjk+t1Ag
nO7zMhvixtDGaS/rOPGiqkB7ENZ9ZlBRa9lxuZGDhd3XWLrOj+bJbzhLSIsznax1WeNeRXlELnxA
AoeZJU2xqWdlXjnCqa61ZeqRLxeqeoxdbdKj2pnMBvo8KJtwbqS8r2SKaMBoR0zfbe2mj1ZRUjUj
fNW+tX0/1dTlTZUTWpkvq1A5bX2fr6oGpDQ5lcNlHzlLzi5Ua8YJpsC+lIAf9llmJV4MlZhO7d4t
lHPh+zL9jqwjT7bQlNaxdTvrRO2Df6gTu7sN5oLAMcnz+SllD9i0dlfeTX21tQp7Oq9hb1To6l3J
lqXHX+aMRFJoyvEc7854QP5TX0j8Li9oeTlhhk5bBl/BX/23vGimPXf5cjN6SXwoqYswopqq6D2G
eCNEK1wZO4La54D2ntzrUeAvwMd9viRbf87m69RM3OFWBv4sol7qBY9A14kSr7P4tS0181PvBTVm
hoLyZ0459aY32WSqLs1OGV0tlNjV5fTZGIvgQm96RwRR3HW6FSpAV/KnSNksHsAop28eo9Vr3fvz
nQHsG0RdXityspvAiZwpAdc0la6/SOThKUYNvbprkjIX1wOhAqjYg352NuwbPIXnKuC7jOfqtsm5
IfYzyvRLRDTAkE0x5YiLx3JrGqL9rAkz+Nzyu8UWNVwRuV0+3BjMCGeyEt1tKRdtn895d/JG7LUt
RljJgXppEHXDdzzW80yBiGp6gu6xMk/OpsHrXh1ti2Jhzp2LtWyKeBrcR4STHMQoJrww0YHSlNKl
7nZFvbOQrzbdFXNqxJewjTOCD+Go+pUdXnVLKC2j8PdWjdHuXm9zkT9iXodMHgQngmAKtBxc0uke
s7RIrgt8+Cjv3Sm7bUwF3mnP2IfGhlT+Qq+Iy2oU8XnJMERL2sVZOElT7AdT4xmoaqxHVh4450nZ
8ikZxZu7xRjbL2nXFRPxOdJ7M4NsPGRzf2j0mSlk0tuHiea50AvS5amTtTyYY170Gzfvlr3plyIa
kqA6umOLMGWazIPQFhVyeBAXIPwDzwSg7qRUzS6u4mUTxF7z3YwL1NLxkJQsmV7HHu/1N/8BCP8d
ebOzYh3/3A76m7w5fFad+D//lb8W849i0Pef/V3kDFCImQxVsrlmvuON/m+g0DXRP5NsyugEQmD/
lJTifQLUwE9KnRc3OebQP4BCLKP4PsipBnDjt7ruXxGDWh8zpvz3bJ+1DZs3YVOe+jOC02Kj87Se
NIdZpwB1SOcunDpN8rcHqyHdkUxNbF6vQYr/WRZ5WHQSTkJNZ17fBZvOlPfxyVc+3b5zgPLAZBYP
rGPJEg3Tvnvs9DrZZEV1EeQODHU2sZq1kliTuI/SZaH3Hf3D3iN9NyxxCNJqNdFosWRnuLO+//U7
+ap+Le869fraXTzXH3N6wCD/CAD6n6teJp7h13fuuey69m/P5fe/Xb5S0/Hj3fv+83/cvY5NBBQi
fBLcqK/m9vldos/diy5/TYDG82wYq+H4d5h7lTKjmSdeDgE9CfbAUr/D3N4nnRwpH1QMtz3Zc38p
6Oe9RPNHkI271yWFDfyPXJ217fHnuzet6TIi9UGHzu1SAEg7u7VKS5+jwkvM63TKcqBoZClOJY1k
aznVgNeujUmzGL0ZE9qodYzScMPfqP6RO30yskeCrUqOysgoL83O4Eg4vtNmhVNo5/lUf/WTYXoB
wnXrCA9vtgHnUK/g4330w9dy/dun+DEv6N1f8OHDoQc3iFglS5VesBXc+wFcDQAMg3KclihxXPlM
1pHxNhmudkpNEylloLG1hEFpHDXXtu4Cv0BVExDs85lCrCOPQKfb/GcBrVFbiazKnxfAv+SGrgno
6qq/3cpv1Z9+6vdl4+D4h/Ck7B1B+yr0/2PZsLMjbkcXvYZAr1v7H8vG/8Q/dWyWE5EAsCk8Kv5Y
NsRFoalxSOij8MX1/sqm/6esDmIo1sVnWSTlkVjwsUSnlEMy5GlboJdziY9Z+jECqvAkXWW5pHl6
7QWii/hsNr07DHd30srKLQiiOMvzRQ8zG2suypMmFB1euSHV/JObi5e5Uj3AYhNs2rI5N/psYlQe
gqsEW+RZk6Pp/Ncr5CMX5MNy8VQl6RrtNZYLrtePC2Ss0T7TOFhQDIXDXpv7Nipiee0Uekss7ICS
Kf0lrP+RDfJB0nkxxBEO8K/7bq74YVESpaR15LUksNN6FllB/mZ65VcY+fEXy5+d9Sf+4OMLfeAP
eqrxJPHXyda2868qJQ6KFX7/ry/gP3oNPg1s03p3Ecr48wXsekuWoqPTTKsRYyr4mUjr1C8NBDhX
Pn4UaEgSbvU1AxTS9OeXQXOuV0tdaBHu/VVBnJ9jSn9CebOn2uvzoPoH1RpbL+uMXboYNyRG/YoI
+UdvANuMSz2MZ+EX/fAGqsEI6lRqUZBVJ6TI2QVaGJB3jJr0nI3BbxvlP+Uo/0SL8d1xoGLhBwhs
yXn+8IGls1jtUsZxJPpm3lSNfBFFsir5mYDQmFyVAVk+Ckuz06dvg/ur5HzAwj9/YHKFHSRWFmY5
jos/f2CL8Heb/AS5ZcY8q53mMtcYw203fUv6ernJXAeX2Eht8VAzXHr5i22lb5bEUGOiMhQFyUXZ
DCZX6YvYWWKxr3vbv2ykc4P74+TjKV/S7E1HZ1dKn5iqObdCkgKmsOqZ99DkE0tAeOR1ZhjEHJjG
9yEn30ERW7eZY+tmAbMPmZ3vHKP5msXufesDGSsHdy+vbGOLSK2RtDsnffEQ+oXNopBP8GpjFyNZ
5G1wWmmZhrz7saoskELjxu6Tl9hYH4m9/sWf0yAEZ7EAy0znTo+nDiI0B08Bqzi4AFkbkfJSVKrW
hGSZGe2IFNjbqvIj2fKra1RgyC1uMD+jnF8/mZn+X/bOZDluY1vXr3LjzqFA3wzu4FQDsBEpUi2l
CUKURPR9j6c/X9LWdhVYLgS9Zzc8ObGPbSkrE5krV671N/rN1FfTtV6JmBdJYP6ow1zJWJbfREnz
kOQFs7Licb7J4RgPo/BcLFp1jxzibaWB75sN86tkNTmqI4O/m9rGQSeFlcNtAogM8izMqHE8KoIg
Pavs0UytW7Cbt3j2FRdJU8w3adKB4Tfsj5i90V9N4/nGpr2zxR+w3BpagEoDRsM7bp5bxUAWVAWH
uhklerGzpd2XCUjgSfusRqq6c6zmwc+oqcEO1zYQtadP4rv6Vv42bi0qZmMavuscf5/GFrSiEnKE
UQCqwlJE2uuwlzZUU53tKBb5eRlHwd+O7crehW0wfbICTd3LEABgvhSOmytoXOFu5Wyx/7t1wtSB
cTBNXgUSDD5H9IgCS7zVkhZ+Jeo11PwG2DBSCCqNQuVFURj3RWoa1wW1pt1I+eB6YBnAcM9unTAS
Vfzpxg/8cVNJWrIzEnCoPvWEjZ9zxVVV+kR/4kENLSC9/PY0wMpXzq3LXBgEFOP8fejVJ9OXPlZj
V7ohlqEbeeY/7KvwyZwCIPkBempBM+Fjqlj9ry5CmcOOp+oi6dP7DJydZxejuo80fnfiRPBi/OYB
ToK8M2Iz2UWKA2MiHehCUgnaODhJulqcTxSGOIJWTmnPYANIRvQkoUaDsnD9QBU7wZ0Q0NAgpYgx
ZnzMvEYWrHGikiadcu8opUrFj18mxRV/2s/fikMj9/zFQ8d/5Jf8Y3Hcu5BS6ESniA4KJTs99Pmr
qZRupix5MnoOWTpnjyD6bsNBuVGpW1Oe+Zh1HdoyY5PcVBobHqKc40W+iiPhoN/Pfo+5YjPaO9s2
b/NcGfZ5GgGIzZ1byAn3CKc1ADGDR81hYSZEKjepXz8IUV5dKh8kiZWawMFbDQa88iCAwzPTVB00
wTAknm5CK5w26HREgNnEEbXmHz1I8+0o6jvznOx8mnVQd8eN+CdaUDy1TfqYY5K+gXD8sQkVXFwJ
vm1rJbuqqR/iTL2vo5JDq3I4crHxZT8sNniN7PMWf85WHYwdFTD4TDohY7Z46JZRO14h+GfvMlPS
gC/K+K5benirtd3sbxGro4zU8GmMhh8pS1J8I8/8pgFaGsiN9NGArrs1shC1zmgOXJQHum2Nrxbe
FOFlotvglktOfBPXtJvCx17rHuqsfkgxoCXVKlRYDGhEhBb7xBZav4UdPqVUTt3ncyqV1scslWcP
URdEPafOgQZWQ3hEr4BerMG69WwSu5c+jlPC5pKcKyfBXt2mRfG+1+P0c2/5E4RhP5681PF/yQNL
q45gDyWdP+XL6j2UETTH1Mr/3sQGKhoi7YNySGisEKzTrAKgHvKaiqc1A8ojhjW8UyhJbuegG+9s
jSAYD0qyr0GBXuoQDzZDzdb2qxaSCR9Fugii2t7Ryfo+Aem402zkMGLi90WnEvATo3gwI7TtkHA0
lbe635Qu5BD1vTJHvtjQU33dW3Q9HS2RYFCECNFskhAPXtSDpAvkj8aNYnaTF0DP2VNMI9Jn2n1N
b3tDzbunL16inuBHcfMFo+rwXYIE6N6oje8YQiYormTNbnDgEKmhJj+Mum5cQwDDoL6Sy68KLlie
nfvTjZTC8qSjHD7SWk7eR7IE9SDBFh0vZ75fLKc8NYFT7NVBUff9UOk/yzIpLiKFmmMCQoGAbnHC
6eztRyy6d8h12K6F6g2FlfRxHAXfleBUFuxgjQsb+62Ym6p+eL4WyVvvp0GI3zRxuW3oj4Iy8Ovr
TCQbmW3cIj1LrdLiGJQEDG3umVBm1GjgYGTZNMM7A87TtyIngj/HCKHLJ0Mk/CDl8SPsMv8K5izi
NoUauYR4caekH9O+AAhgWsFOxONxppmUFNFTV6p3pdbdIM/6Qw/Tr7mVXCeTBK1t5i4Fkk9uQSMP
JVyMD2q0MjYqIQ5xnmAi6aDLakQJYlxJNl2PlZy8nUaLh4pP36mQLX/DoUN7rP8Q4zCOHqiMGMRo
jLR4uUOaoRmv8pKwTkb5YOdimqoMxWrkPKawLL8hAYRWXPgYBaxfUkeCJ9MDCxeHViQYz+kCvZqH
yaQrjNoSd5aQwbD7YiVTFC+Uoyc+lFV4zpqATuFtZok87uA1oWU89fJxDvepTawyLenjwEgEzfhp
iGp1O0fgxykQRivjmi9ScvBSFu6FgBBlUvNlgkh5v+kaJYDYYPXvwFjs2hbyjt4Dg8DvuVTylFwk
kjdyne7IR27MVvoM1+kh1kPPSpAJwvDV8YDkk7IliNrW1T7vKjeu5w/BAP4+4OG2DZvm0m/lH8Ae
cET3pS+8dj8YZX1dKXbpoqCAkGPwSWm6n7GaXiiBFQDeICFO/SdMkdttmEWINYOcTdN+vDUkod88
cZZzn8CtWeYleHhnS7Gdg86eQ8TlVsuJOrE2SfuMzpPbtMm7yS4FFS3i3kQ3mqwxhSkSIe6EE/iU
bbKSoqRUzqA8JHXFk/LFA9UE/6aq5CuWboCQ461/+HmLEihQE4EaN1WSkB7fly01g8vZCp7ikujJ
xfp0/kVnvdhRDIlAi8WweABSVD4eUu1gV1Q+XrO5WCk+jn4JtW6+18DB7Ztm/trZ1mUVc6tkqe71
vn0r0kkoEvYGA231mYNC95A7V+RM8kAKJL5yTTIwacnjGHKVZsSQPrcvp6jfNbFVXxZq+lSV9YNW
kul0M++aWLsfbeK80yAaG9F73IlrXw2jdN+3+r2qkzqKdFOayRwykvCGBv8G/aRk36TEgLCXYYCK
3uFzTkfLxREotI92wxGRuJ8SKHkXyBnxJ3Pjtpz5L3lIPYDcaD4WwG8hEA9xvnMC7uQZwearP25G
3lzBwMUwTLK0H8eQnhKCvA4CgyWBNeMuTlVuBceZJJHYoavKpDtzSHYi3dKi6iEx5xYcQONfBbEx
/2Gt9S8ce0V7k/D0972W/6m7x++HpTb+69+FNociNBVqA2wupVIw1/8ptFnyGwDQYKxFnYsXsPhX
v+vT6hsKc+hoIASgUI4QxpW/C23qc+kanSEcldE70F5Xn16+w6lO20CGwWCaIrovLbkkGxI6XQ+a
IoOS3RsyesbcgMHFQNVQsDWHjIZflH3sbCm4Uqaqmz0Dpsa2ZIt/jJqyv5JpuuyCGn6vLlQJkRNT
3tF+LLudQt/pqi6w6TABVL4HiZN/6O3GLlzVBFX6vOKv2pj/v8u+nK36/g9NQ/gAzy0T2n6P3c+j
Lcmf/b0llTfc6OJbC+9qNiYVxN8tE+UNUHnUNLjv2V/P3ZTfW9J6Y6mYttFSee6KCNLA7y1pvgHo
rqlgz2nTPXstvEIIVhW1rqOUw6QdAMZcdGgAKBuLO6lTITWWcT3t0j6zPkRIoF21kz0VW6Go8qiV
DhRJo098d5AV6KmznU2bdpjAkSQ9r2d1dKp7Y6x9ov+sf8GymCrG1I5tvolAUj9iFZ56/gzRFFxq
vuahqHFoj389eQP1XhSZaEvB7uTkHt6okjwDuS2MgcqaMX0fRk39wOt2Qr/dAUgUotvyWelDcA2I
D0LyzNQdSiouLi0qQA+YHJf1mDnRRiImFNuBiGJsOinBPzlU9ohxWreWYk93XasND1qtTAalJ026
g487u4iVzqRoad3xZJHyhzlAiPxdkOZ1uJGB7d+bcRy+9dU8uXQAsUXbATRKtME0ufKaSO7X3D5f
VKJZCorfCqwEnG7oFxwvhYJIWpYif8L7xPC3JZzKTTfKEo9J2VxJF1/kMQxFJ8Mio4AFITuLVY+K
jDdChtCDaU31Ps1L+aqRfImnem/z9vUtL+jy+38jzrLTJBby7+89r/6Vfz8OM+IP/BVnuNbILOl7
Gsiji+TyrzhD91UIl9E1JMcXSeLvOKO+MbgqoQTYMg0mLqW/4gzRCfIJZXLSYB0qivaaHtNyd/Ku
0UzK35iGg2SgHn68OycHEnhpVYjmY5oAQqsy95LSNxfGCCPyYFXu/ohdh43SF6pRYix+LuQjIcHD
jI/HUqAUKmPaxLvKcKSbtAPH7vu6uQMy9A3FxgakW4qY46i60xCUd2mkCfWDqdzZE8qJqGoi8NBW
FMzm8FpNcn1PVbFxp0DqvCEr3Kwv4l2ZCGcCdG93uZ0gxD/rOrjtctjQ3cioxVGczXH5/OMQ/G0n
YZnNMzOEsAzB4RBkfX1Rx7fywHQSysE7GNap26IRtlUESlQ1aL5hIQ7RsnNIKbrMcM8v6rI19MfI
6POJLWaSXB2vqTnOfev4ebxTFJpdRp/lu1nWp835UdRlZGEYKGMGghU004DJsL8P43kxOErUOU5E
9SAGk14bcrlPUO/eyU7OOz+rNYTHY/pgW0UJ/B9QtIOvUzl/qYZ4srZKIpkfLGm+gkurgsDN2npj
YNzxFA52dM+VwK2EPEDd7aKeZjqIlC6+Hm0l/hbXo7XDFa+oNwjvaNdalbSX3WCMX54n+G/e9Cdd
8vLn//u/54UgRbKEk1RzlMCzz/8MY4bzRge9AVYEAS2Riv8VxvhXYkuo1CdAjNAYZ/P8DmPaG/J3
oWnvwDchEyDx/p0uaW8Al9AShvSkPe/e14SxZ8v0w3SJH0WShKg315/MBbg4gdidNDhB6tI2NpS3
QFuCdhfrQbSf6XF1e5CcWPlKvirNG4eEKKKOJqnSFqpg3W4yU62vQvSdn4y5pzBGGBp+IcaE4lxd
6AH0dquinqYpw08hMrSpm9L8VBh5fFOb6ax5/27F5YUqtsjfX6jb71P2Pf8/l00K8OloQ4o/9+eG
tBwyccItulbO84vyrw1pK2KvQr/6KxP/z4bkT1HhQY6Um9exntPq3xvSeUMUJ98Hw4Mwh0qMe03+
vgzMAucECATGpfgV0ESPI2Y+9kOe4xfq9lHSeiCOEWnPQpQmFMtVmhGXA02BByLrP+1BDe4seZy8
eqZ9Winztkx6n5pI4VzI7VRsgnqKqRJHNsWTbPbvGr1HpKaPLzuz/5qiyP3DQcvs0hz1NRtXVQT2
w3MlpgFdWOcBTpUKPNjxNMIqRfxHq2V31gDlBcknq0SIUq2GBNHmMexuJ5qDIb4EHBt4ZTCVyhF9
qQCyBJ2s6F2hzrh7KqP5tpJG7UpGeAWKQD4aGwVRhg81ZkXvx7n8Ak1/JRl+8QYhFjiG0PcEcyIE
icWlfVC0Ve0kqgLc7dwGWipgaL2mLBWMXwsd7sPWqRXYnWOJXdek5+/LavgUVpF8kwdKdxtlCGdC
0cjju17Oys9xNacICjWO325ME/R94GTDr1DtHZSa268AarTLTA7772g70HWjXpnft3ZXICFDBXc3
ytZl7RSqRT8x9NNNgcoiTk956U5h9EU2U6Q6eQgKxDXsTQffizZ+/DeqLKOKgG+diSqL6pT4r3/H
Eh0lWBCS1Ni5x/4Ae/2Zo9v6G3CQZMY8ZdEW5mb5z+Wmam8A+6kY+/C2U4D4Epz+iiU2wYT7Do9j
Cl+vStGXkQQwDg0pDQwnlyjMJYY53MdF1bZJ07a91zT25NaaEuyiUJ13B4txIjtfPgTEKGgQ6Br/
R+YaX2R4JYo/5WCmvSeV9LcRvk+gkIYxSn2as//vhiJyH04ojp2BKzxDPQcJQQMl/Z1v+/o2qJGW
OT+SuPUPoxeTEskF7ROwU6I4czwShLwUQzW1g1YmBfCKDektWh8NkKI2LL3ecUoPrb3GJbVpvg6o
hHw/P/6JT2cAIBSraoHxWX46RUU0CWvjzjOxjd7IkkML2seA/fwoJz4dAZoNTOmS9+Iy92nKsFH8
pOo8pUTSZI6rCE1TVdrULWYU54c6NSFg8OxDg/cpb9bjBaUQakuznMM0BvDiWZqPo1DoaJtXj2JS
DeapQeAG1rzYi7mG5D2ym60HcRixTb21PiD8kL9+LmQCKIA4yD+TDSw2R2fB2kxLvfVKu9Wvp2L0
IeY248ooy6chW5Dvgn768xv/hX4wwCJ7KAa19QI1ry/hz7ebspJtSN+pdRXw0t92FvyhLMKM+PWr
yNUNcUBIn5jP7qsH95+Mm0zW5m3rYZXWbaUCY+UBuMarD7PF4hE6ETFBTsVc7AhrlouoylQsUXAC
BKFTSW+VMTJp0871u/MTernPEfYgTOlCtQWM4mIo36GA2JRj6VVKZl3Namdd8iisbyvLyC9fPxSl
CpQqqP7Csxc/5WDt8IEIdQw6Sra4TFegwTmykNTYBZ4nvfozYeh9MNQiUdTgcOlthpG81TbaBdB4
43oMsrUJvTy4x6MsLhE0A7qyxO3EQwxf36DWr9xERZBc/INlQ1CdNg+VAmtZB4kyzNarIGAuczBd
GKE6gH83IuGPEa0EvZMT+muoZSRCybX1wW8Unj9Z9qUV4CRpRuqv/2o+y0sR7ZqqLGDde2UMYy30
O8T3BgmrnaZvV2Ke+MzHVxUfiNew86xU5CxB0rKs+MhU2IWHInPtBW1mXERym7lYvv0gGqYrX+rk
8jlIUvE8EWVE7XiDh4EEXc620KuwIslFOA4BBNj7r/5IYIl5NuDvDGyZsY5HqXoJdQQaZV4Stp+7
sU/2paOvSYu/CAui7sB9wUOFbctVfTwIrEw1Ar6Qerhl9qD+wvanFrbw78raXHsPvVi257Ecyh/U
dIFmLJaN28ovyBRTr+zN8Ts9737DIwQS7fl9p4jjeLQbGEc8YC0ST+ShxLv3MP4UFFqyEDETT8Y3
6hZzyehtPiHLMyRG9hb+c/dOQc7vRtKG6i1PNPVdQnXkC4ZSc7wF6QSGGTTwjdWB5LH8Mb7mBmg+
5MjyrSgLvdi14ney6LwRNTBdzwDngzjpq11kREjceV3QOd/q1jduFfSFPLCRFhCr/tX5B/B03nJs
JY3qEa+743XRVSRRm8BKPVWRPtMuwh5QtsbX7lqBgeftzkhg7XVR6jpc/ARIuJHIKKhj9V27Vlb1
e9/ou5Wle9HhI2MTV6as20C/KWUsAn9adZos0dXyGj7T9xIi+bQDuYh2a67b5aYEHtZvy6FGX3DO
xgcNaIhX4V/5kUgOyVhtyg+2EqiQ0ysLmjYLAaYW4ydUnJp5T1WicIeyUADIjn15f36DvjwHAi5D
pwlqGKnnsm2gaqj6cIkkXpJOIFI6gM+1NNnu+VFe5E4U1JFFgxCgYojMy+z4Q0iBI3d21SWeX5cQ
xLFc3OI5FbgYm0fXdV/XeAdOvyzkRz6cH/iFMz1dCiqJQrkMgphDyfN4ZBRRcsk229gDsR2DWx1j
7YMxT8b3oqwnWoYdeKwNtYXxfopxa95V6AAl27JJgvltaTscO5RInW8JxP5vQWhO4zYxGjkIV+LE
y+Mn6vGYmFKf5wEqmEiHO7UzgCaMAebZs5lquyGNvxkCeZq32YQnsdatDHfqe1CqBYumybw2ls0G
FMQKp8Z10EtQ5d1muYHpoXh6bM028j0zKfVvnXDDLCcz/3T+i5zacGwEUjFydZMofzzTUK3jqQm7
2BsR6MLjvcWHD29A7/woz0f7OO6y4ei2kclauK48x+WDeJZHiFhHWJJ7VVxDKUxlZdqYfTa+b5pR
v4JLpV1NSDt8mqnjIBIf6JdD1fsQcvN2vBRE4dde0xq/R7zpKJUTwZd3W1TgxVgg7+M1mZyw+SVM
w4Ru8Plpn1hcTSMXwFDZ4Lp+Lq4fzLqeJwChqRF5XShhzq5mJfomoJr/u1EWnxAO2NSVXBfeMFnZ
PuE+39CEl1Zixqmjy8mFaqYA1CCAL1J3n/Ke3U3gHzGGeGfnsvYBDH+N+n5ooFCGaGzXbMtq0vG7
lszoY1rI3Rb0Ns4IdmzKlxF8zpz/6ag/VQ7VUzlakf3qC4bgIniC1I1IvoTG5eGxbYtIoktm49TS
IRGWzfZ8p6cIz5xf75d5EXVshbYgqAPxZF+MAoJWCWJ6HV6EkcCVgZv6RnK6cE/m3q982pfpimgL
2XCYAH0QHBZDhUMKpt5uQ4hKA6pM1rsmAgWettanEg+H2FYfz0/tGT9yfE4B2liKUM3UqI5ZYkcf
7NjQVvq5RnDIQ+sl8bIOnTEk0Gn6VDzh3ykKbopSbbboRQExn40gB42thXd8SuPL+Z/ycpU5ORwc
ashYIv0h7XfwS1DDQjcCs3kywnT+aNpIkYT22FLDNbOVYPAy2h8PtUwKZ63FJI+hVNJq13Ky5MJQ
gMujNhS8NbtK/y/HE9fB4dT0ppexeAk9ith42RSl9jNKQOECPkHzG/DmytF9Ua0jCGEHR8GELiKr
uQgQwN3r1sG1zdNw7LioEhlVdIDV+C36U6/cSHmdbAcLSSrfb+2vaewrT+e/5altxRJDuuY6hbO+
BF2F8BIqDG3QqKrU6r4euuIzlJ9o2/m+dj3wlffYN6TIp+jJlRNU/h7hICfZlP1ryw+sBJhIAN/P
9amlXmc4FhZqnXXojYNCHY9jt+0QSES4OZVXYtGp/Uv9y4CcSKGUgtvxR0bJpVYC/Kq9uka9b56A
YyVIwICvLddQBKf2L25aMC01zgsFxOOh2iIesRe2MDKVQ1Ds4TjsURHykZgU9kNhGq/sp5fXGiVX
0QWk26eAnV+Ml/S1hMOQFmByHRbXuGEoT7KV5ytVqZexj1HIGagyq0xNdNkPT0k1xmXb4OzgyYXf
fylTSd10gaa4qoUE/si7DCOYeK3ke3Jq7FCSA1AnVDGPBw2ozZJq5oGXanL5Ycbv9j5UtGElAJxI
hwTnAawORTey2RcwPjgzIzKg+LylenafzMn0I1D05op2pH+rDpV11UxWuNdpvVMfixEMya3xDuOt
bGMV+bxZOZ4iACyivoYXG7Z71PX/ULk4XGp8dwkgiAJ5FCOLdygxaZ/zcIY5NDfV1okT7b1s5wbY
kkmrfhUxipByNukXCIXHN6UaBJdanoRrd9+pT2EiFs0NC1yUeuvxp8hkBcMNqQoQKne0X7KcI0xk
9hiwrkxePHZeTB6gqoFYtCgOLMaZBm1CXysMvI798FioJQbUdV1eO9lsXJcIa15OTh2i1tnAwMnK
8n4eJ5x1/8mvANcJLBZ2KvWW49myF5zOtyTJxf5nfsiHWt/GBYJhbZg226prbUrAmCG3cxzfwoqB
gIIU3sP5H3FixSk50NSlMGLzHlisRI9zsIJ4lOQCBE3uJZrWyE4l9crmF3/LYr1p4BFagZIy2WcG
x8HtJ44dhvWD5Aa456A/0txEYebmlTESv5wP56d0ajCOF3B3Xp62vjRU1KJSm5O+lVwELjuXJ6m1
J5/A9SrN7WuifvL+/HinlpCoD7jYQsMSZtPxZwyd2DYw7mFymjPv4PwNWymykpt/MAqdUyBBrCFl
guNRunwgcepqybUQxd0gREcu6I9r5ZoTAViHJCAklriyabgej0KTI5zrilH62oixYrWzPZ5qnH05
aLZdUQ3XNYKvK1MTP325Ow4HXZyDIJ3qrp15vcTtrN+05dBeV60QEGsK/dHSBv+iwfzNw5jWcl+9
qECmcFAEG0qVfdntS3KJek4USK4ThLon90T9GfVn7/woJ9ICNiNGjSwtX1AT//5g90eJqQxGPTqu
kpnpdqxnFELh62BurawBNU7sRe4xKrgQr4C8Ll9DvV8rmE/UKDuGvf3JHqr5ui7bYSWlEo365Rcj
rTQEzlY8DZctHaRa5XquU0y7a210R7MIcTr342KD37z8A3BX7s6xHP00Yzudt6PRBz8KvVNuVTSB
PctM8N/jzr1rOk0KYF5ZtbIpCYTbpp/LmzA3INB33bCi2v+sU7LYZzBnUDEBPS5ecurxd5B51PiW
HzkunvflrQ4xHZcnRavhENv4W2UXMSZ204Zq5vQ+Smcdh3E5jH4kUpG8R9DcvwsnC/HRVoElj4Cn
qpUbUy+0fAvEtgvuXr1pROosqlGU++llHP/YKnE6U1I625X6HBO8EgQ/mgzp3qrrZOUiOrE/D4da
th3lwQmE3Kvt2jglvuOagGiqjsNNNc7+yjdYG2px1Kd+8H2raG03TOzmY57U8oVF7+RtFXZrYvQn
h9JopuJsJzpBi7DcFUkQO3SH3U6uQcNqOEV220Srnfe+nZn781/rxLlDXQoFIxqqXKbLqo9Exacf
p9p2W6Odt1IodHOxZ1r5UKdHQbsIABNEEGdxB6QMP8U1e4LKfYcOFm5LZZhn2/NzUU5kR0zmr2EW
Wy+xEbwf08p2NdR7P1djRdvbl/S3Sik/xW2gfNd83FqlGh1QuTMzBGbNJnl9ZIYYJNPtInA6CLsc
b//BShGHlRu2f51JmBdqGJtOg7Ey1ZMLiu20Sf8A+L+xWNB5dhIlSjCgsZVI8fj/cBHLs+Di/IKe
HoV6KwbtNvX3xaZHmGXyAZPbLkXyp3CsAlfJq36lBXJyu/PQFh0QHmr64ubuKOLw3mS7R1Wn34ah
lH7GIdXwGhjku/PzWRtqMZ+iRpE9MDnEAMiza4Us22v1Yd6iiZ39g6HAKYjLk6cTZ+t4G6hYywrQ
j+3iMldcTG3cXMHjjnbO0Fr/4AjTnSAPABkhKBXHQzU03ahtcoQLZCjJ4Arkv9GTWDnCJxIsnCIQ
hEKUSYieLaKSj3hqkvcxn2nojatqiqKrFLTaBbJbGlxgG1WHPCy/nP9gJwclwwfWBDEGoM7x1Hrs
3HBpNC2kB4ZyLzpge8fX8QJp2/kdZeOWVoMWrYR68Zcub1sHWiBz5UH3TMg5zHrK2sEPbGLXl3Fi
3mbDoLmqjV2wkXbWjRVq6esjhiNQtVyVoNMg+y0mmRjI/rec5baoc6SIkZM3iqF6/fejDo5AIehB
bJCWZ1nXFHmSe0ZR5KTfD4FsQ6sxMW4tq3xbQ6n5VDnd2gV9qnZAv4bKs0GdAlD1Ym/GRVbWPSsN
zVVHjL2S1OZeDaK8QPc+t792KTFSL7X8LgBO75aR6KgNmIpd50mgXkrkLSvLcCIEACaTDYrG9OnR
/jpebE3u9GlSNct1IOPusqmrt7LsVy6qmv/kuxqGApoc1B+CnOrxUDogzTrBQsiFjhTd94MRIoXR
2ysp7YkYTd2O3FwQckihxRE6yNGxFhnkhgDkYt9U7jsZc+uoa8LX3zfIGVJmIqGjJLlswgYYo8V+
zCgluHk3trrvc40D+fnTfmoqiGvoPGno6tPxOp5KYvVymWZA46MmnveYWiBzZ8Dm+AejCGYASBTx
hl4smO3MaoS2k+VqTl1vMefFGt0Ou5XPcmqfgUYRPDALn/kl7lxTpLQ2w8ZysWa2LwYpUK58Kczu
YYXVr79qBLUGcJDo3nHEj5dtRixcQ5vecmsrN3dmYEZ75BU7Nw9lfeULnZoVnAlNpj2kK2yE46GS
UOmteQwsF8RCuZvTNrsoFSvbBRKKaec/06kyPG0ksjm6nuBsloViRYnBWQPzcJXauIwSbHtVLMwp
Uj9YEmbdUmB9yh2721a5TMxo1G+Y0jye/w0npwvKhI2CgRkd5+Pp+kPkJwm9QKJXl7sFmjLbLNHz
fV05awqSIjVdXDoiB4LJgo4BNIvFTWeMmP1kGBThg6RK10FhqLsS6/dtgUzejRGp6I8MebVH4rq/
t6tmzTft1NHjfkXhhuc3KfoiTgdOm0gcPdNFx1/fWHrebnti5UrwfflN4SRTrBYXgRC0URcJOo6f
OTokeARjiKRvhjxCwKehG/BTwjL+2pgVfVc2vrmvi7j4hGxZ70Z519zp8YzOx/lv+2LG/BSCJlAZ
0Es078S/P4ibc6WoYzJ2ptvacnaNSGp6Zfbyl/ODCP2A489KdQ1hZeqUPN+5bRafdShHSevBtbu6
WXTTfq46pUJPKwN+Kffd6Nq5Mv30tYRsqpIlZaSaMIS3kzPjy2FpISKIWHEp464dimz0+lZ2eq/H
BOGpGKwEn8/R4lat/bK/lru0SpBKwWLgA9aa8ieroW2375Wh0De5ofQ5VqNyshLmRLA83LYwa2gJ
iCueXhk3xOKEBJMzYLTeowpuV8VNw2sBgX07wqZpmOWLsietkGNV+nV+WZer+jwqRSJUFsC70Ko7
/nYllmWZqkCGMOuq2cdJCnOm7bHDqJtmf34o8VctJkgU4jKiqs8zaNnUhnHhGzZ3HVgQFLB6XcXz
ZNat7Rio0l1Y6jJag7r9vZ3tZIW2sFxaqqLkTJAsQRcTe5boP4T1QkPN5x58gD49UZf9Ocsl5vN1
gIyhaQcX44xj1vnZLhf2eUwqz6SIYmBheXl4KEJ0tmu153Pqaa3u5gBDCjks7C3wumklvi+zbCpw
aNkCaiS4EuDRbjkayrBj/KRys/J8rlEX59oSX2mZ8w/icSOZubOynOLvO/yQYjxK+c+EedqqQnf9
cGpqVExZ33eVN+Za46H+OF/2QVyNmy5Kxr0SDjGuEY55OXJvX9NiD/WVCS8DzvMP4CGoEm0ICcsK
Z+XEqe2baeWhJWoluGEp8SaTxyxaCWwv9w23B40Jm+xDdLAXh8Pu0OQg8paeY0cB6jS52v8YzV5Q
Doo8wnek03YZOFLvtVuHYam7CzYU1/aSZYONI69HWjIeSkzfUtuOt3VZfYTouMZROrGOlIsgXFEi
ozq2/JBaaQ9SpUyFB7nSuMwqs9jA/p8uXj0dpIqAs4puOE+XxYU4B4NsotaHUKgpD18GBNEuyb3z
nZyjELTyxV7OCFoZaorMBxoF6LbjrTljsYUDYpx7oZSh9mk1yoZiTLo7P6OXBw7MHvLGvDjIL17w
aeRikiOKCJlXBV28c5QWTQRT8wZdCbYIhNSv3u4MJ7pZfCr2/HK7jzG29DkvPU8qUB4FNBS4aTKu
QYFPTIqHK0LrjiZU1JYEAJYunjP8kLzOTL6gBKFt40S/aFrcYgZJ7VeW8MSH4iNDNFYFtAxC1/GH
aqPWMsjMCq8eZVTa2mJyB0d+LaxWPLA0gXYVilZU/MWvOMhMdMzueqVSCq8qU/3tAG/2s1bI1cr3
eRnqGYWKgHCDIDmRFzd3OuXo3rQ6VINZ9l0YUJTplV73xgzZvfM779Sy0WQUIkD0/6xlqhXLONom
yHx6fYkejwz+jz59N7uvH4XdDYBFeKgiqne8bBKFbAMdZGgaw6Bs1XJuIRxIa423UxsOJRbAtqTJ
DiCl41GcEQJvXjq5NySV/RBOaKF3Ez6VidNj1mlV/kqCdWrtnnlp3BrU55dY1LRTsqRS5xzFWLpW
tiWF2yyU/sFhZSOA7WBPU0Z8TmMPthxCpYOaDylKxmCL0CRNwe2bhfX6LUdDCMIERAEu46UyES7b
Qa1EWuGFQ59d8MjI9pjMJQBOcac5vxletAI4RDwc8fCh/mhTTVjE1BI71QwL3cKjQttu7NgGpKx9
oVf7WIfpU5b212GXfygm57qM6pW28IlvJq4OELsMLgiZx3tkqP10oLhQoJgfTNtYQUs4tPK1KZ44
wPz1oJNBd0IsNNXjUVTCYuPrBaMUDYDglgAbN+l9ZNdrYe9l6kTxH0kP3kuoVUJAPh7JmStTggxR
eMDQQ4R0O2NjN1rn+cj4IFQbqNsCfMcFsM8AYzK9WbmKTy0nPX26HZA0oWiLf3+wOaH0WmXVodlt
Fc60rSXVcGmG/mmY8rfqPScONh0IrmCwuEhnLe8rEo1MNnpYSmFrNHfxLAHyRjSt4iWTaDiDJnK/
skdfJmo2LUlYREIFlMe/djyvRMlyCYvO3EubqbrmfcjrLyj0mxpbSbR3YQvjKQymYSUanzwaDsGL
sI9MCrjZ43GxnGtyyQ8JYeNMc6qLpE9BnSdXdq1iWokH9abrQu2ujfL6SiVT/NyB8ln5ESfmjgWO
gIOQLNJ/FF/j4JtGejYonexkntI60lU8xumNjqr4pjFa+KOx2t+ACHgtxoCYAEZP3A64oBO+FzEB
wntbDyUZUA1y7GJKEFmwpKB9/XY1yPEFOYmjwn20mBrR2jYyNfPkagru57BsdxKVhf35ACfumePn
DK4VNFLFXhXfcfF8Ci0r7/J0yDx0uRHYmEv1HXzVfDc2bbjzSziXcRVKm6Lqgt35kU/EHWTHeFuw
gXgXL7GibdapsVZXmZeV2HKgoI3YoDYV7qzKw8qb7bnV/WKWPJw4/UL7eDlL/ingoaHMPMk0fyhl
/tbAur6NnF2c1ndq21+YuC+SUdiX1VTtEineV1pwUZfFl/NzPhGCKEuTMwsRt//l7Mx648a5df2H
tnA0D8DGvpCqVLaTOHaSTjq5ETJK1CxKIiX9+vMoODj4qlxIIfsiDXSjHZoUubi41jvYlAHOv6nd
4sg4cWmd5lkSAREGiaeq2m7snCsrCweY1/7+kgL+fBFncQ5te6TS65OhfXmXaSJpq9Unw2jWG9/w
SrBjQXl17DhniuAXu2dasSqtWkDMS2shvhvM4QEUS7yKJcWj9G9b4py7nUjHZiXBII+5WD0nW6x5
6oPqJCTawvXQys+u0tvjn7/RlZCyP6IgrnDpogR1cU1gIqaFY1XVyYuq5Uux2ONx3ZSMu6WMHupB
WQ+lyq1bXNDft8/FFt1z9BDoBEeRhON8a2DHXWLB5JQnIKmdjo0ZG7MGxs5dUPtI/pS5PmbNaj9v
VmOhz7bRcjYkPuCjS68Wr9gkR8765GVDcCMLedF7Y9m5zej57i/vvdVx/putRs2lXZBfdU6n4tLI
AnT22xzoT/Q6dMtH7OhFapv526BoXpetfmyG0I6xDPjx5w9z5fDs4p8wQ6nk7KXC89+jlK2rvAF+
muFP1sM8RkO6rrO6ERCvjgLwltYee4Dr9HwUSo3L7LVGeXIHPYKI9uVDNnnf/zyVKycUQuP+qUFD
72Ix54OMbY2Dy+qXiKaq/rDg45xEIxypOZpvjHTlhNLSYSPTpeTwXIKunQX47Vau5QlxvyrJBSFu
DHK+Hsn/9mnLq1vvwRe1ebYLdCkLCMaOKGSWl3PTVa0ErLdwE/mD5yzoODW5Id7rKfdOfbTUB2MR
8jDWYRQv61q8kmtXJvgUNDd27rVPiWrOzidGLJNi2flvsidLi5U15ckyldx9TIzEAFx5A7J/7VtS
mQ9Bv9J4B6tzPkoYFHlddGYJ87bL07lRA45TGIcgBGXeCE0vJ/S7gEvlIPpdgrwIgOZauDrImuYE
B8u4d7Pl26hd8/7G3twfuOeRiFHQ19svZprblxNqB1xnsYNrTn2Lwkei114MOC2BDDzCM8vGpNVo
Th2rArH3WCu8kmOuVPvtjqgHI5vp7Rvl31olI8hxm5oQDbFD4S7y2RyrcSF4dP03rwvyH1UBpRis
f5NNrzZ/nNdDRLrqJw1w+x/L5IgPupHL/do161GZtnxblVrieGM5o5vS1Gibkw7WLYcfhSXF3S7o
/9GcRt2dRm/FHI5Ydlgzy/kyOABOUCRwmmPvD+ZXken6p7G6mEYGE4LCSSgj81sxGKt1nOo5u3MN
D6dzu++aLVZVAHrTdnEHclsZiBsB50oezXrz9CIU7FDcy0LrauI2MdkODPGy3z4pGfmfh9IzEtwh
5HOPzOkbq3HDFIii/RC0ZnawwupvG7Jksrs0LF98Z0dTrzvfxDxBa3stPa4cH7eaxVZbvPRYiExu
cOu5cm0T7xuLhhYD2peqB7OuZnOMUD2wB4TUujXDPyf8Xzz2Igr19M0RN4AEZl9MKOodrx0iiRVo
lTl3XqPVYw217sbZvzYX8klotbsiE03682Vz84ol3TQkrr77YCr4FBn2RDey15cBBuGY/xjkYiqF
vYqiWhmkEiVtzjKsTr3wi4Te+S2S09WheEjSMaK6+4J/2Obb3AVS1SeVm5hm+EOWZgBW43lZpxuz
enkxMSvQOr9rujQpLsLmBlpnRayODyT79mHsJxs+LV5jST3LvsBlfblFenmZ2DEidzoFnf1JdZk+
lpkUkSwZ0RtG501A1T/xVh1gUIgxxi7OkqrS+ftaFYNSf915T8BdLtO6qiqpZeJ8dvKV0A+qw6Mi
gKDBJbzeathc2YwQTNjwvOfoEF+yacJFq61to+q0ika/qRvb/1oNgfH3VVi60HsTjLYphUvn4hIK
xgZ8oHQYxrP1oz124+epzZsbt9CVj8WJIovgbQF18hKONDYN+T9UklPZ1XlS9IN1j6CitSTQqq03
Wgn/oGQQ3oDsXR3V2yX5gZrZlPvOzzOsyNlfh7U65bDT0sF1hsSalvLRzyozxbK+/OhvkXf684V7
7bsxRxpA2ABQ1rwoOGMnYe+Fqeo09Za6E9GUxUMg/lagjAiPmjTtX/LNnelxEUVYStcau6k66W3I
Xy99hjFV56nuRkTcj+1F8nA2zMUKrlPhuwvieydvCst7nzw3iJep+Y6uTJVG2Cye6jKC6LA2Rfjg
TJn71wWhyOEmRSeHxA/Mz17v+I+CELq9a1YMWXnaWnd6VIh8JYubD8miZvugRlfeG02Tf/zzF7zy
RKKLSO2UitCuRn5pECvGtSn7YUDLwlNiOHLRRI+il0FaZKPzS4eh/K6kGbwirVKxbZbLXWEY9gkP
j/aN2VTZjR11JYzTBAQc44cu2fgl8r8hdtqL0Zf4YFs6gXNZH9vVMg9D4RQ3zumVzYsm4a5ssntY
EBjO17sJs9WuFx5lZBVTXOKNfWzL+VaOdG1CwV6fcklIdwDh+SiuMKWZwbw8ZVUBo3vb+rQ1y/CN
4+lbncCrE9obtrse8F4/OR8q6MzMGjyGwtL4S+6HLW4sxS3C15U4g0g+YJ5diAas1sVhnJcC0kto
lycnxHSpXIbl2Ldr/totVnSkc9+/B/J562V2bWZUicm4KMPTib5IVsqs6eaIZUNcINOxFdr63aK6
4Z8/n4Ur9zrtQC7Z30VSPJrP1w9ps8y1Gx6cgSf02yrP5VNbZuibzG00JVPmeDcizrVp4aaKBAb5
HnXMix2IG2c/KUzdTqXVhScPo8sUX9dbyoTXsnRekoibsXSgcS+rD7VhNsqtVHmKaqUfzEIv97qx
xGunn6unPIeyTSJT34MoF1+x3PLSvGi2W9ZxV84BS4vGGgpZlEEuhdbGcgTtvOXEmXBzP0ZGKeLB
RLhCZuoWneLKsnLYcBjZxRMQPb44crOe9YINjDi1ndl+jYTL7sTw8vDn3XJtFLIxmmecB9SALu6+
EvO+FktKxGIM68vQAMx0BpQK/jzItVUD6rHTkrgYKFVebEnUF/OqLcRpqXIjoaynktby17ixnenG
fK4ORb7n48NEZ+Ty+mk23fqyD4qTVRifh3zJDkLbT9iDZsn/Yk5se4ZAqI5Ky/mcuP16tWJIeuoC
P0+6dTSPziKK2Mr+mhdC5gB153fpjX74Cz0WF8UVhBVsNHDcgfqfBMLqGnl4/POEriQOiE9Rbt3N
Q3b46vmESondhA3k70QfENkI2BOZSAMsOscj33Q56hUfmiQDALPhsgrJg8e44d3gEL0IXrx9dmeB
/R6HE3v5Nt0hpFM+cr4Q0ezeClWOiQK8G5MpBoemabMblfoX238fD7D9XlrdOVgXITmaLInkVVue
VBA0aWTqOQ7dKb+x/6+MQj+AoeiTUUKPLva/66Oqy4NbnKxIfx+MWR1MzG9vJF4vTBN2ASJqfrwL
qDOCPrrIvMxFUkIWgzgZ1BJ6egAjmBADubu6GJ13oYiqR1+X2cF2pXEKSmsWOH3YzZvARmYwH8eq
SSJLzek25ngGD6i+SkcvR8wH17T2DIzkReElBXZpRhI4w/pkrMK/kci9OL77HPBQp0XDe42+1Pkm
bFCWlPbESrnFNI6HYWgRwe9CvxbxQkJ7+POWf+FhQ1WSCvC+6XlP7fna+XCucKsyNzTKLLaNxkO+
DuUxzCiR4lUchtnDGOyg21ouUAuyZfghtzV/jDqNi1WwdkYcZlb4AGm7/VH4joF9tL00GM573RvR
BuqxqPCbmOdMvOk2HYBqxZ9LIR6YtM7m3k9TGZ5aZcq7RrvO/ZAZX0FV3+LTv9x7TBFpB+iUUK+I
8udTFJbZWiAjEHPqau9xrfBNrtxe3DhHV5wFUFoj79j9FljPy3KPXzq5VZdzccpsHOznzU7N3n5X
DBPA9+jjONuv3CB7Qomvjt3GTXkV45BZK4zCZVK069PSqg+ZorOhTW3GUst0qGfs7ZHr6ZzlRunj
5ZrsFamdm0KCCfDw4qTA/o4Ml2Zj6rZqVXHbuc0Qw7Qwbuyvl9GMcfYHAAAS2J2XKUteIZmBgEGY
NtnmvBdB2X7rKPtjSAxf6t1GFffGgNcmttM6aG6CBuPP+ceuxmCRM1dDmkXKuI9K3l3OUtR/m/CB
m9vRDju3bu8eX2wpLxKwEml2QHGQ+t6dJ3HYlfb+N3MBK0KCvlcDLjnhvtNNW98wF9wcize5Oei4
bypx4/n0MuCQZIEn3p+NZNyXxMQitDtVaZgh09APB3/A2DrsfrYAVG5M58pe2LM5AHqInFGuvHhx
TE4+dcUY+ilO0+srPdQ8wR18hkvl6X+G1b917q+Px12z4w9BgF/cbML1pmYgy0ob2D1f9IzQpt8g
AjUhvHnUneXdiNxXtt5OxAOQyr0NB/3iTG1VO1noevlpaE/2q6zwyiM1oyX9c8S++rlIhcCJQl5D
Ovx8g0Pej5Av22flgB4qwKTcjc6KN/rq3yLUX1tA7iIC5450A650PpSzhkgPOhsUF6q/D9s2OG/V
Qr9je+3Jsr+xDV+u3n57IwNEZ50geonMmoTXdU4mnFTaqx8XUu72j4ZzI8V7uXp7G46WKsVQLrvf
1+F/1GY6rHMXhrHTcIi+bX5lJdiERamEcnKjjndtPgAgXLJjHoWg5M8XbxpUTUSw7VRGRg1Q3psP
TV5nfx2ImA/gV3rSfCaut/NRVic3dZ47OMytJS6t1Wz9Y4zW/OFv9xwwINozoNYohsIDPR8lQoKy
6DJtp3jlZClaNCIte898P9pedmOoK8vG3bmTbMEfWNYlt3dzEUPuQizzqEfejwrL+7kJbgkBXh2E
jwPIHzsg+hrn81mGzESimEH8ul2p9gfhg9DGrS7Ty5LcnnWwo0k9dljFZVW1VTUar01jpVvYyg+y
mGqEVkxkJZ8Nl8T+ycr0OMaV2Vfw1DLcLeMebnV+323jhtDUhuzncfM9dSswvpw+WdBveCCAzp1/
cD59M28mLeBWpG7uVz/xEMTRpzCHG53il9Fj95ulkr3TX2n7X2SWUbM2Y+21JotMfy0MV2Tm8/q1
KgbcyJta3jjZV4eDzklnetcyv1TShpoF06XJzZQDs923vWunwkebKVe7S5XZ3NJlfbGIOweHBIDc
hvsTvP75IqpMuNJtXS91lY/DUWC1R3Nzb6kZvpgVowAT5VbmaQbb8CKK9OaGAN0ceum4ih+umoJE
jquLfMD03TC85sbb89qcKFLwFPCdvexyEfAXDJ7HQZpeuvRunaBC3x/zyKlvRPprcwJ3RtIJdJoC
xf5b/EcMHmAqih4PyTQq/Py0RHQBXLXp+7EPgI26xS0Zzhfi87+Jt1hucxZ/i0pc7EQx07aZ0UtN
yyGjk9hjMZnhHzLWMtkGFziA6/Z9QWnaRt993Gob+12Z64+YcXjlAem5rk8cZdtzEhZ6so51ZxkO
F8fQTfGsJ0DZte7XW02uPXSftTFoHfBwAcsOIYTm/MUpnUsyqdIa3FTm9fIJV8rmuLaGf3B6qGzo
JoWvF2ADN57QL2PW71FRGaYCspNJLy6UeQk3M8h5n+RbUT92q4peRYh9vArrEAe0AfuIuPI7ffDy
3mhZAz9MKQR2j25XZt+U4893f756rmxJChvg0SBO72LOF8csR+dBuSVE/agt3McVFaHYrNfxb69R
Zo1gKCIn1FV375LzLUm5bMJeZkIdY3LX167ufapYgf33xwuIBfeBtStxv7DQk44tEP+o3HTFhCPx
FArYs8sO+/OKXds3qCgAUuRpDznqYsXs1qwCR4dOirFDlyVNWC8HK4IoFUt/lXc8idx7Knp/3frd
S98QzCDF7HaElwTzpQpWq3bI3wwaiTFgBAi7UyRvLOGVyYU2PWwiPNGQwHv+oXTrzuYwm3bq7sre
kcU4R8TWrEOmuc9jQVDEV9CfPv55Tfcwe3EWUT9gh4BKIqO+FP7z19pFb3MlYbCWPJ7Xpf5Q6iU4
Wv0aUtLCkbMLM/M5C9dffx54/1gvB96bJbshL6qc5/MdrADdcmIPWfE8HifVzI8V2vT36+xbN07a
7wLF5VhoA+wvGGIO6hXnY1VyFv08r1baChOetSz6OkGBbWTWS29Uh4yS2/fCLb0DiO3wSJMaI9Iy
KN3E3brpiKScfODKCJJyougzlq71SjqDfKjzAu+XYELu16BrFs2deDVwSuJitZtkFlY/3qhMXwka
NF5B6RI46OBf0s4iFLpMvo+VRp7074ylKpOMxsmNg3Z1FGREbEbYySQX6zU2rkkVZbJSw5dvJW7k
T9gEWzd23v6XXHwUrsg9/DMCd8FFAtCNFDQXc7ZSYWxEXaG+RX1jIzmm7teRt/qft9vVKZETBnQF
qQZcgsNb4RRzNvZWOmGEEpuTE9xXGwZVfx7lt03c5aQosXMjEwup519MqsUbSNZLb6Zm67VeAkNa
fsZYjLIg1ZDwm1E1xceusEuRLA5abtQTFz2mtaJQGeflbEKNDK3x1+AsWR9LZD9/OsG4fdWZVFW8
4JPpHqFESJEY0vXqRIKzFifE/Li8anfeegS3I/+r1/RRdHCdFV0z/gH5tnMsJUjCM6eNRem2Xxqd
hT8iOns/Ld7AH5Qb6n+WyRAusB3H/Yx1Q7XEsLy9T24+QiGABjNZsQlrD3SrHQJhq93cXJIGqdt3
YaXMMMHShPYI/M7ufS109TmXw5InjtvYKlFmt8nE6sOl3Ukz9RTzi6/e8b/CLgiKcGxxX83q0o/9
HJBwbHZh++3Gp3mx3cDOEmApOnHZwq4+jwFRWPcb4Ccz5WkWHO2l7uPFED0GUcstFaeXjAhektRK
Qe3vasPYb5yPZXqzrMZt2NKCx9CQ8O7b7nm2t9y9TSPk/SJLZaAWWJTzoZ5z/yPmI/03u9PNq1m0
2ZystaZK6lZt9/2vV2EXeaIBg9QRG/Vify7L0Jcd1CXwmoOdRJAiDzQQrdjuh1sF+JcBnrt6NwIB
Y0OQv1TMIvblkfSKLZWZpY+o5bqpYYYazKC6teAv706G2h/w3GQ7IPkiDZ7NyZjCzluR3sx4d1pD
1j9bm4sfr+vmxpOqPGx48tVBx+rPy/kyqlCZQDkOOji6EwC2zj+0N3l1kbnLmq462h6qLvsVedq8
kRmwa17uXS6tPWfdqRkwjs+H6bd2kosVjWnW6Sq6G6JpNY6Na23V0cnW5YvrDeCHzS53utifIv+j
EmFpsg7aB307jFl2KLqltg7Ka0o7RvjWcGMxOYOILUtbxXGJes8+cvkvLh7ay/ABp/euSHQmlhKM
MroMd1gHUrMammgZ0rwe4aN76BAf2zpbnbtNF32VLCPl1piAjyIKngFlnoiMwtcjNvIYoaxbHZRJ
49n5v8OqQiPpQ1WEh6jtw9fA0HL3zs8H0KSB7KK4r7T9wZznIY+VbgyyEHzq1VH5sqmOWd6IZx8U
cUPHJQ+n5Lew+yGbzXyftNRVssuv7n1OK6sPjrX6GCFndvOvWKfsPVj9+lmFuf9jyGbjPag0s0L0
rLfeB4NlfZqdOTTiRYb1jJ1Txxt7GDvPBxhs6zdubdkghr0letvOssviqApKL1nXLljSEQ9mxIwD
Y+teNygF0VfdOsgsShhzTtct5EE29GEkHnl/NRg1K2t6onY9wvnYCvOfQYW1SKreURWyF1vTxJvw
miwWDlIbp8HviwYWl52VB/qB1jtXS+EcdW2P/V1TyPmj4xXOV5qhEwIdO+pbSF89+oZR1HGYc2r+
yUQ/vhLFZm/HwY10sRPDOuc0dX3bJqFZ+YcyXJowdr3c/RXJzPcQwPFWsGVukTu4hK3WW6UJsXEl
tPkRLxZXpuQgeXRkq8jnujNUh6a+hX2StdkTdRG/iKY4WEvjbhzoQMaIOhoZUX5bP1djNbBoocE5
LWZjxU2rH3mPqajnDAtBOynKnPl7mHnuN2P2J8QxmkA8bPz0N5UPK19GhiRteqvG11RINiftR+V8
UCqqZ3Iws5g49bmOEt9ebB+jrbn41Tqd+9r2tHiid4iSg1GH4qkmHX0X5kNNXhgFrTpMQ0jV3iyt
/rvcND5Gc1BrpmaMWZcQ7DTS4rOjHrqi8r5VwAJoblH8Y2ZNtLnHvMzXX72svPe2Vn6AtLpt0YWa
/FUfdECmn2CaStURC5yCINWF83YHzmZskmzKzSflG/DUfVr23B06F8cOSvt9E4YLyJdS9L/szsu+
oPYzfG5DGIbxyKvoeaTg7SR2xFMSQL8l34z+20DlrwfRZx90Pxi/eDCNVTKoeWwThFeDnxriwOey
nG3rJKPaXVNbOU3zqvZdFluLUn6HneS1GNUVYZHac1GJWIaqfGxB2JZJ4K7h134Y1E9BheWZxcmg
C7CHlsRE+/RnFxVzkEAyN9pY4575Fe35+cO6arM/dQgm81+DSE0Hp7GcLplRcs7ira/KD5QPRZ2Y
9LesuIVY/22MqHUcsdy2vcO8ZmyQqvayf/kxAa5r1n5c5bosEuENwRHgn09K7hnBu8lYUY3zyiqM
HWucnmqnR6ALZ82AXTkWu3i7iPgEYxsUfewAR30VaTsb7jPkyFXKiYre+rkb4hK2rPTGXauTeTz6
Nk1FgfhdEFMa0x9IhTYZ8wV1Sf5kOa/Czl/fOU1pJrp0IOZqc3Ufhi2y2LNWEeqH0dY9zFaeQFOC
sGrexExQYxYX+OMrw/PFc+ZPS3uo2trDUEWZ7vusyJpnvxhGn0/YWXh5+ZN151H0f+oiH+ZPQKOE
9ArpmuE4ungNGNHUAoCbxesNEdQPg2tbW+oHvTc8tNjNDSB1DHghUhNKE6Gq4vVu38LecLW/pB2n
TaXbMnXtSc1l31LMasP2ruqlAjYiGjCfSzf+W1PFH5OCruIpzHKXgNu36Lk3o/Zeh7OEkl3bg/Vo
gnLyE92U8xtrGNH0ajA+PGFlSRRtcdQTD3gi5xNGI4W2Tp6viJkDTJEPsirr74Vt6PzkiXDJ00mV
rTjViFfxDiKvdU7C0xE5al8Qmspc9F8YYKFsWZCeQD+NrPc4YFR0pKVBJiDJxFqQq8ZaJeix25+2
Br/Qk5xVYN5h8GoXscdXrPgwAo7NEjWLFztzFnYx3Mbp3yYUJlIFpQk5pg3c7V8sqnE525rJfg7t
qr53Zhr+sdBDt8SOAwP/WAa5GO8ygrF5sPM5MFBU64L3OQrgfhxxZ72RHLrgIQh6w0Qj3K3r2C7b
+mctZolQFypBn+l4y1cd+q0ZWCtLUsbsA/LwdevXpyzaDIUdTNsQw2XmLXFQllCnS8Nth2REk/q+
XjIv7ngNnOYhMJMtn15DOxqfFF+fu4hcroxtDL/G1Ot7xRKg+IDvV757VNIUnp9cseRlDNor/zx6
RjMnnlQA4GlJlQ/m7PU/OkpsPOC82Svj0jXJsMmDjf5Qly1ZcLaugxXnvd+Jw7oGxuu5Qd6ToopX
fHbcyX+zrYMWJwKlsxx6w+Y+K6zSiIOoxCRxbtyBeDmUy5M3l+PnpsvqLnG6QKzEUq+CLKWtPjts
4DSquNPaUwcOTB0d80ZNXzfaDyckpdfwQReiuhskV8ehDEhSv1Ze5W9HUencui9ao/gSmMrtD71W
1pzQmBJ3nV/Ox2kRXTqKHu6V61SDlbRr37xmLUveYaIbu0RsRt4nNlp1j1sN3fSbuy4UWOdq8j/0
0nN+FpEPw9Ufa20e6ylEE75lsnNcWlzXsRlKwsPU+ePbSsrh5zRw0Z0QEwSx5YzZyuOOsDv+zPUc
ciuZ1GXbzFw/Wc7S/FSbZZMdDHJ1P1TK0N8n+aOoU6tsth8YMYefl3pryeh6qr9LNoHOsIERhLGh
An848N082p8YQz4Pczh9n+ZaferQtK7jAc7uR7EE6gfvE9K73rd6Ha/2SHrnohJYv9/Tk+diXo3i
pOoCCcgI9ysVg+iHjyG9adYJIhhLkWzLBsfGjIT6IKUdfOpDb/q3CsU4P0Lxb7/D/K38JBytQMZN
ZsjHYBnFL29q7X9tx+1lkrtZ9ovAxtU82i5lF1xUmzzm72nfzW5r/VOZTfBeDasJEKYxUGSn818P
h0WQgh04jXV0TxblL8eqs5Z7f2M7gaLdd08FTQC1kQLGaJhPwTPuWVUdL0VfwJ5EJOvZ7GonP2hj
aj/3WeX9rODjkUSXKvrH8OzCgcXvNT/HLDLetnJt35TaWo5CWdV6bC3Z7OYFYv7aNN3wfR0mKFlN
lvXbBw0jjS0hluJ9pyOS9iCvrADDQoiCscoQFGQO1QohuO2qf1iwSj0olFE+Fp0haggNndE/boO0
jIMyKVAeAuJ9H1O34kIqK+EFp96yqFuiq5B7hzqfbMFDZWzKt6b21+6fURA0klE67naoFhOoI5Fg
ekZIXPZJGwXrFDds1cdWSvMZSrqPs4SpCW9kXu0a91RCm9gq8EiNw7mM1riKEP6LacJ5+Z0dYeuG
3dsiRUxDt5+P1RTmHzGMjX509JhAzQVLscUT2Lf31eDjgjP5pvGlwYFkI5Oui3fa5haNhaAStUg3
22K7ACUTL13edbGR8Tk5jm3ePniTtRT4RCjnsUEg1z6N/ix+LVM787K2q+wQlUsTQPFa9rdH6VhT
gktEPycSTU3jQeM/JRBlCIsPZVArl/i3GstHHHxXdReF27QeG16B2CGa/kBDGo9RrpnINjwqmP7c
p362ifZuAM//2pbTtB4qp6RcvNVRlWbC7kaE5Bzv1+6yTCqq29C77+Zu+QHQMugfGtfJZTwaQUZp
xs6bpIJm8K/jdJykagq4SDo5L+NbG8/e5i6Xcx0lUnuiOljLtnxsnWn+mgFBzJNqVsWY2Hrqv4pI
yDwBoRh8b8sN29O5bTc/Dmu+XyKwsfZi15jkp8mkOQZUqgm/1t2M3B5cUupNTePlr5FdH4yjOflW
eXTGvsDYjZvZiRdg4fmh9kszPxhbrlieTez6fHm1NSdlNzAW7ECVAl8SpDxOflAjR6H9maprXnaO
fkQ3otVPagz8f4wA6ZjE0hNR2zRFcKcmZx5jMwupWqEdi2Ad/JAVvCh1sMTL1WDeDWPt2J9rzELm
R2Mc+zBBpqh9U6z50N1H1Vo8NuQJfjxXrdvGvEOnz8juTE/SwoI8XrbOK5PIIBlNONnQ1TbPnrOk
5ZnRkbDQSI7DYS3J2su6eo/iUu3Es2ojTDHHedSxj9BySw8iGvVp4nOHJxHhdJGEeaGKV3brROsr
MiOcFILeCu/roTdBo7VoqiZ1Gcj3tVXNv9qKiHjQ1Tq803SInpu5Iucvc56Hr8psrIkdsAqw6Oq7
qXht9IZc4nCVvcIfsqlQxRYLJ24pdCdj1Hfcr1DBx+JQ+V7/tCx4jNwZpAGnqqKDeOyUmX1ZK1b6
IEntqiScBvO5nweSRkebXXlUszLkvjTB/Ez9uYsOUzVPYxxu0eDEZeuwcJNj5z35pNnN5DALG4ka
D21wwG+e9aoSBJ6HQsmpIwPJ+0+BYU7ivoK48zk0URk4bFsut0MTtRhy13pF55AMajpNM9VPhIMz
zDWnNVh+NmgVPIzK4/GqNjyzYrhhiO+Y/dBkhKuwUTHU9vzNCGfzKSx6/9k2QkK2NeSNeVzDIbNj
5ZM9U0Ytq4BCiSgixpqrPomKMKIisGnze6gk8mp2v0w/hpK+0x0MsSztli3KDn47tt/n0ZHm4b+c
QnU99mE6rfYHcVfZJI+DsZhe8l+9z5N9aGjEU54PSNkn7XwIeipPuYeoWoKSLPZayClERUwROnf5
bk79nt85uqVf+bLohmAnmFCk/1HVggRzXiny8ZNWoV1TkMpp4hI5uAv8LhwBiXm3tK1eFr/oLcI1
prQHRelF028GaaKtsl9T0Snu5tmN3ha6qH/8bYmNehet9BB0NcXUy76YJdTaOWu7pFK5b9DT9Mkv
RirGf13JCwIAdegd+7DyKZGeL1y5zobqLVOnJpxSEMBQn1pzvSW1/7LngWExxopw6OiXcoTOR+EW
GYscMXgcoebyTVMWzZNsovrByjwnHbrQuSHScKXpvSP+AcTuAgqIrF1URjcxOJvn5TrVLk5/HpGp
kYr72lk+GgigxGE7uMmAkHPsbTxHmvK59HkXyL91QfQgDzk7f8/Zu1dA/M4nLidFjpLbEwJEpb7T
Pb5NLUoHf/0RGQXFHLDKzNi6FFeobIg1uaOnFKImvGoZjCQ8OMj8eUe+OGMoZtK0Aotv7iiGS/Aq
lb5adLlCazzT6k1ZYyNDfdk78UCokz8P9eKI4WwNopTe0C7PSd3+fNmmZerzTdVNOkzBmMiiFU/j
IvSNI7YX/c+bVjBqAEuhhEeNGZGE81H45d1m5LvwcWr6Oork1S+/L5migmh8hnEGvvsWqPzFIqLt
ZYY7Ww7WECXhi/NWz/g9TqbHp2rLKrGa0jgE4OESdPr/mpoH14B9QXLFESBFu1hEexu9LfOmNXVx
q4kFj6/ThkT3jV3x4lP9HgWqBwQNGtqXHk112bR6dgd6EL2xHXkRbPFmdX+t67WPwp/dXJ3Ye4lj
yptAB9bUrrRSFj/2qMulYsLjcRuN/6f9/H/OxPbG//lv/v17168Sd97p4l//5434juNe92v67/3H
/v//dv5D//NW/ZTTLP8ve+ex3Ta2tulb8ao51MhhUBMEkqKoHBwmWLKtQs4b8er7gWyfI9E+Vnv1
qP8+A1eVrCJBAnvvL73h6d35Y9292/Tl10eRVOXxa169BVf6/kn8R/H46ocAn14xX/dP7XzzBCtI
PF8ueqrW//P/9Jfvnp7f5W6un/7+6wv8R7G+W8TH+uv7r06//v3Xyg39Xy/f/vvvLh4LXuZXRVIm
Xx6PX/H02Im//5JM5YTm/IqSgyzImbPCCsanH79CZQrRvFW9a9Xv4rwrK0r1v/9SjBPGwohzgMkB
Aoc25F/vuqr//qsVAAKXnJHhqkvp/PXjs11926/fng+34vvP78q+uKqSUnR///U8a365rSF6oSJN
g4KRGETDY1VSglkai0RpfFWsw4bUhq2d66rkhhKkYq/oNQbQVo08qqujcOi4aO10vqGEpt9khVW7
o5Dtp6xM9/owSw2d8fpKKSd123emiXsd7Wka0RIGBEjyTLVrTBY9FdWhGctOZtBgSnPjxaByDq09
9ofUHub3Nf7tahDrQ/Fg9op6XzZFv8VNbdk7TTKdhVNdNW5bt4y4G5yJYSgtF7Uimn7z/CT/u7pf
rm4O3bdXd/nu5qnuP+fJl1frnNf+WOf2CYB7FiornNMHesi/1rmlnrAB4OsyWV+FkNct8GOdOycr
GxTMGaIZ4EjWxO3HOrdOAL6pK4xFX0GtUFn+YJ2za47iFxoO7CckCchyANofA7RqKVfTWcvHgHms
bZ2l9JznTSUQ5dpkWZ7eqczoxgAZHDrIS9ilw6YDs9O4fdfkZ50iV6qvSVlU7Tsjn/kfHXnY9gp9
by/p4+Rx6VWGX0teaV8Zq2FCloG0KNy61vv7MiUUeNYIPMZVRSSltIGStjxlJlyZfs6GuE9KpWKW
gWoT9avQxOwmpa1nCPqlDUYM1kwPFSKmnZ2XedFFbjuMDluqt8LUA6oxR9uuSi0JpEWmXWSqMB4U
MxW1h3sjsvRKMaE23C6dVQdhZQ1PTm9Y9GClcrprqaSLXWbba0NVN/XhookLpCbDoasbT3JiVJkc
J/y6auP1Lqw8VfcHGge3oJlz87xUutrxMgq989EZnH6Pgao6u3Pd2fSE2qkoCAWLClVo5KRBhgyh
Bk+hwdRuhGInxQWnsRj9DoHd2yKly7xT5LxfOz4DsGLGp1eDgYS7P2JB/KhMaB26lsmrPdDHUxeg
9Yh+lWaGkuqNclKOfjWJPv4Ui1K+pPEj126y2BWDBlLb4YJSUh+3XTK277vCGBi1OrBWhkBKIETs
mrrO7uhGZbo3JE5x0JJ4mFzG28V5aA3y42jZ6SVmHdZn9ND1zg0p8jguceueXCUC8AWFbE4vc90R
D3XjZLan1bacuOUE/9SPQ0n7vFhTNLvdlC73ESiAkdlWODGPNkGfbRpoBowmpEVKvLnqQMS0NerX
mPo2hnWdWrTxXOxJB2O7SFWj7XU9jlUaA2M4eBUsV1y5DKW7QWzCajboKobntTEI1acraj2t0Jb8
gm6teiMGzOoPqT6o5q7uNTXzF32xsdyewqzw7WLKUXgP4cOeVegHjaelRKfZG9RZHenihJ3wOzHV
kZeLCAmdVEG31FOGxtE3CKXGkt8XRp75dabl4VZqbP1cN4tUeJHogPe0OAJq20lhrrrJkhkkaFx1
/U2nxBa9gtAavyjFOA2uKSGt4TL7iIdDKRhignBHGTSmmzB5DsOU2rXU1jY8KRuW017vOiSEzFFG
TcjUBsUXSomwAwOexvHtNqtuUUULGayVUuR4CDwqEGRz0I4fe0MKbca+yPYTnTLpvegQlnY7Y5Ie
2mQYRz8pLOPBHkf5vQPOIHSp60uLJ756v9CUbwMlYbSr2VPzxakalP30VCbglWkyM29qh89WmQ1X
0jRNKLMPs8bcG17EP/R70dOfM4BeCD2t4ydRPM0hGN/tZC7z5C1JFiru4Njo5yUY6nCItoWX55OR
eVkcdV8EiCrhjfliH+oInI5bpQ3bxoqT6S7uM+NCB/lBH750GsUH9VZsLFR96FVHs8X0r6qj0yLn
2/qKEBCGe4QXC7+qM6nxybXryleN1gHSqgj6IQUHNWZNeovfD8xNJpwOXmJzQMPcOmeAp9SeZBnM
HZ2JCYZXDsk0AeMqRu1MjQykTwpZ/lKoYf9YtjqzFGPEVxGyda7r7mwuvbKdIEje62la0pnE5+bW
YBHWUJbjhCldZPTvZZN+uhsJxHVAtc0TUlXIJtR+MrB03VGPwa3Y+kiPNOERKKC0o+hzFMb6uSwy
Y3TlXtUkzs7MKbxoMuXGtSsJyUB9wDxsY/dalr6B9fs56migndHgwOId5atj2RQT0t+yGALl0KVW
glANHZc+/1tGGs9kkpdZHLIvK72U0sUCUmYeS36orRz33dSCoEILSzDBbCXTkwWboe+X9DxO5RZ4
Qxp+GrPYOFMWAAG+DrvyW770qhh4mU0e12sm3xJqDVxNVLfpjxwVUXGnNWNjak1gVoWyp9M/fDTq
tLtvklInsfhXGvKLxHWFpL/+xqjdAriGWgQ1C/T663K0LENH6fKkho3QJ4U36JPRBZky8pQdUdvK
oW1y4I1xoYISpQsl916XVsl38eb/ZogvMsS17P7Xo1nLq1f1z7Z//PrETa6fXmaG62t+ZIYK6R9t
FmSD8ApbWQb/ygwpjniKq8qlTKYHE43t8yMzNE+AYlKQU+MAyeZl/84MjRMb/uzKrKI7oKBI9CeZ
IR/s1UKiZwKOHsYPIq3U/cdgXJOcx5m1ofenQnkfturiVjho+ONEcgCe4I0GwC/qLeCHdGrgVWLP
8BOXkKyFcR0Jmt+GusnY2rBFQBI8fopwsNwvYwfLGVwe/mFGZMVfsRqry13dasqpnC1Cdk0lkWM3
sXr1Y6vmzPbKULpBQ4jhX6rM+rVacsb5pUYE9lK+8hakbrtlmCET0hsbjkADOGpmFJbnqnoXgwKu
vQnXhsQZYPJMhXw6z8vUeaYRit6fDVKJyJzjCELeDBgFG+Hseoxjm3GzM6TXL5bOL3b1s0Xwy229
Pg38slkklBA8FNbKS3KUFKIwTbrI7XHy5lPZFvW9OcLUCkwJ2LPaoKvtmtNg4RRUSp/4Lz3aqHrO
YFwiSSBHTmNwekvKLbAmmVwxM5mdOF0V3ad1wfQHf7bOQ18Cfu1SLopr0nwHpZMOPRA8sHaBUpnK
124Y0nTT947JyC+dGcykRuOK0txNsgBRaOEqfyYnYOrGWZMOFcSEzWItvJM1qjnwmkKJrrUozj4A
z3CXEPUs//d36lmd8ehOrV0eDlkV3g4qxq/v1LK0eQ2PoQPmt9juMOSKazCULrBTxDMYB5i0PiCz
KG0VSm2h9Ia79FEgYvQd1URRz0plmm7FKBtbxlsAKDvQl3ImP4A+j7ZFN+XBGx+YDXu80WAlYPxA
zuhQ7R2RjPLIGutMzYXP2c0EcLHD3TA5H5I2BIeio3SKsx0D4EmO/TJZBLR1dP7yrB3eaHcfh2SW
GPwZ+Peo061d4KMlJnKDvMqIhL8IoQUkfxoIp8566/msb3P0fFbOFo+APUxvdr0dL2h+ado0dp6l
wkeAa80m28m3AWTSa9Y7rxPatENGzwxW0qOL80a4R5hD9YwKLSElD6u37v7Px5wGkxsSBfrmGv4s
Rx8HhGhpqRVUVwB8zUGt8voUILA6evFahYTxWFzLeKqrQVkwE07VZT8T7M/6rC0vLVVstcFeyk3K
u8fuOJTh+di3zVuU4XXNvr5nULZQfoHKTTZqHUtOToLBeBvKnQ+aUvVzJzlflHIvyOr3vX0pFqF+
uy1/FL4v66fyVrRPT4LO5HE78lVD8//dFian6ovd+lMM3z8Wj0ctzOdXfI/glnkCiUhl26Kl+z1M
f+9hWrR94IStnqrw3iB8s6t/RHD7hEe57gHNYsM/x/1/93aexy+c8MbKjrb/qIcJp+lo3cDXkxUU
hukTwaqBufl6r6mCEaZTK+lmUWQEstAdSB6xrqRWGHUdFxTs8up1DzrKTYVpNjiXrmwGHw+hYXZz
GaiNB5kJEeqi6GrGx5Ki4ybIxJpuS2wdGEFoBdPoFW4yaVRcvZlLOyvJUfMZ+2HGvdZZQjeE+ad6
M/j297VA4T3A1Wgfh3FxM+epVnuMZ5A8MyM7By6PwZVOSNUhGuegRktXRXE0ChYLzK+bRIb2UCCI
vUZyXTvkoVp9aHLCL8MJkw+oauGlnVclYIEMkQD0+Hsn3TZGp1x1o1w4u1grpgfTloC/ga1eGiDV
cl94RTPqYA672RoAddgXFWCqiXaOMj1FikN7FgD/dK/QBd5NSpYXnowv2yk/Et9UBCzfo1avfgam
CPUXs4/ksVfNdnQbNYuQkogMNQlEr05poCy9/MC4VH+fdUmR7EBfO5+tpGnOdFB3VoAujlR7mEQ3
OmCBNE/9frGlO8UAbO+hJZN9cCxTp/UAmhy4bx/zcDrNTj/UVicBZ1wxmy74gk4FKhuGs2sJ5ige
VbT0CTjRoNC2ARG+YTBmB63WWo+VpNqoCkiJ+ADsJP4Skn/ZbmXW4aWKGkriIqPZaj4uEOIT6EJN
o3ZVoYnWxLTlAG81/SDBZPE6c7AHP8GurqdzIYyJ6lNKPrW6VGeuVBidDr7Y0Z6Gpqd/DmN/qsD2
t+mm64zkw6CGWh6YEe0qSQdm6U6hOqLmBhEAyKnkjKE3hPHqTNIP+rXZgdrDxige9/qso97PBeCj
eS/2+i+SLuOn3bPKM1BHsVN1RkZHk7206kBTgcvZMI8qg4SH6LKx1Y1wAL/8/lLHVRtzNdSWkIWA
1M25cTxpzvskj1pInRvQxVeStaR0P0d01o1WCgBaz0Dqk+FQ859XSiqP3yL/H532/9OHVai7rMJ9
/7leu2UQxAzusRVPr6Zc31/4o2jTTmQqK6y6GCCqr4s27YRsk7SG0RR2r+qKgvj3kQ+mhIIceAkl
2quizaYKxJR6bfYDA0Ev4g+6+c9G6C8TBUZVzHgxaaF0Q9zo2CJEVFWczqGu+SOiMm6rrJMmo3kw
EmgS9QMt9swNq/KuL6FS1MyWvCxn7F734JElM30vEuCmOKC9JfH0nHQffS6cx0BvMJ9jBHIMEBnz
hqLDGDSan2RVohvKndHKZ30+f46bGoRcHn6SBBzJOF+u6rq9ykq6nnpePcxAdU+tfGshtAfyyr5X
lFZ2R1C0XR6dO3gJHawol1eEueGWhY13cdj5DHrzwIAr57Wtlm78KCOegEOkN5rplddN8VbtiDk2
YEu8GeYAbMtZjbTBt2z3vzvrRRvkWePkP++ru5Yx8NfHr+8ey6/v7qrPj1H1siHy/Oofm0s+0QFe
rZLNlvO8HV52RNaB2HpEAukA9EDe9mNzKSerDCzUdNYVAlFrqvUjn5JPAP6x6xB3WntwqCb+we7i
Eq+zcBW5FcBh7H9qFwAfr7Mpzu9oaiKQYPE49tth6OCPTdNbSnX2UdKGoAsSVGv5ygmDssCxGHI7
JopkThlSJGEa3iUaMT7IwfK1rj228ccs1p99rKTG9OU5nZRgGeDAuIqYpsvZKJN5A2AjoSMCZpJB
0AIkfjMnPUMmzWQg0cWyOh1qTe8vMYSZ82CBGfVZB0O/R1dLQmB+KsTD0umxRWqDrbw/NOpce12u
dB8Xg70JSj6KzjpzQZSQUY92Dc0CknOPPYLwSAXmdsVWFOCi5Sg1TkPA+v1pajXDVap1UDPaoZ4u
BgZLZuA0mSPR1Z+b1mtCvTwUJZkUYMmyz92KuQT8Dp2v58lQRP8ZrbGJPBWE52UmxclDApM89VSg
yg+NmutYROpl0pLAlfMBvdRUgwvf6qdqyoB8HhNrcWGFDUtQLwbdpKLJgemubBTDq3CRmjwMIOd1
xNUDflT08g6ppUXyK0M3L2LOl85tRiO+rnVpzOAc5uFGK7FNg9ykh7ani9xeyBOzAoqDlKkX0pCp
n7PI1jKvMCf764vg9Ivk5GgxmuwFSgTOVFI3lTx7TV5elNHwI4Vqza3kaUvn7LoJ7ogDS3/z+6sc
N9C/XQb7FRroUJCIbK8vM5ehLZy+Q5KvK8dTZBtvukFR/QoM/pmtodCQIJ1zpqRV77Ft08MUgln+
/Wc4qtCfPwLdCAO7FOR0+efrjxCldQiJqEZa1Yi783xqtV3SJaq76HEd9AkF8e+vd5T2PV+PQ4b7
y1bkUDm6ntA1Bp3Ivnh1QUoJYUL4uYD5V5aWsv39pZ7nDy/i4notIKdcR6WpS/Q/6v00dRwmnY0E
8yzKRNo2atJ9kOYBmgDzQliEQKCNxZfQp8voyHVXVSTLTyPIm2yjUTsdYOPGtoeP1XDZDHxuXLsc
4bi6NiSeABAuvFCLmgQ6jrPYHrZedjBBqz2r1S67jiEoAFar2m8KX/8Nei+D3irc95+D3u3jmk0+
JOUXkFTPkU/ET++27VP5+DUpn7pXEXB9qx8RUDlB+YK2PjMcjWponYu9QEURFFQASSZjaFRu/h0B
tZMVWULsdFAdBfX47wConhg2jgHgO1BbfU48/yAAHi9X0lQdVWgAWwBF0YI67q1Cz2ltaemgTQyl
SROhKM3ENZ0B+lbtgAdx0y5T7/VM0x7SGWUmKHGdfTWIvLuXRePK0FEYAldquNGNFk8KNTTSD2lh
yUABpupQwzCPocuq0Z1twsVjRNrfzmL12OqZSO/STn1DjfFZ3ODFBly/EXuP9JseB9Cx45ieOBIb
NC0zf0xQVY7QpL3Sa6C1aarFkFE7wAxdZ911DrRwea7yc63t9OverrPtktdwTjQxwKBXrlLizz5P
V7+eGCqVGRmMNrt5J8r2Lbfgn7qBKs0ZekoUNMjMkCG8PhAhuskG7MvMR5Oh2IhxmYJoLB7GpRy8
pAC4LkLskl8s31+Em+NAsN4oxChWu/tVXumnDJ6H5GigHlKf4YZ6n6XzQ81Y3lV6Rs6VpUOtac1N
ShpG/WAlmxpPhTeUHJ6Fc46eFVpSuFKsi9BBeOn197aaGoLlwEeo8ToLTC0GNaAr5YdJ0XovN2Lr
XO7s1o8BCWwVKZWCDNVpZDqEFJhMas7iRNFcrc6+1HjUuakmyW/cpJ9Us7lJDGk4yImYhI5joPZC
86boS4ubpD0kw3k/VMA6JnegsBngsjQt5Jj00uwSb5EnnIfNQ659pR8AtgXOUmj4s7qVomKb8+OC
Y6lmlb7mfJztFHzB+3qyUFOQNomD7MJb7jRHUXZ9vmh/OM8YMAu35qNA38TkXPgypX4ngbVZphbA
A7RuBkPL6A4INJ2+saDWp/X6aZrY4eg20Hp1BQEchT7bGHSnd5TUB1Q5b0Y7P5MR4N1WIEmCHOOZ
c7XXPvcihSSeV+DKsrV4G8GIdUoPfw4U5VaEw5+KEIL2B+nM3Jw8A1nTY2Hq3rHbXO75VE47DR4p
Bs7ftWh3nLGVP0t95z/fhj+Klf8/NNpBFr5YHz812t2qfEzap1dhcX3Fj7Bon6zGYYDDmQx/b5n/
CIv2CfqNzM2YiQNefNVoV09orkPnoemygnhXZbMfhSHQS5XcCxwx/VIAln9UGP40vCYi02/BMlAH
xcnFjvrssKZTmdChoBwilPexSXd5EvrUMXBtsRDIUCgKHAMn1TZvHjAelG9bXQ9Pu8S0zwyngXEq
Lx9wQ4ZO2WR278lKF35B4wtGM912NsSYo4QyGlq86aAnU6IsfbCUsviiq5l53/cRbfyxnZyPWV7a
5+g0mk9SEqW5y2i7OZ0mFY7KlNnm+YjKwWYGSwwkr4g363ijccdqDD9anbLcvniGvwgaa6b8couv
t4XDEFNrOlEI3R5t8TaPFhrXKkImQxPS2tYqPy+HOjDAw/hTVFan3QJKrEBA4Vti/Ufb6n96RxM9
5BeP46ctdX9L/tlGSfnutMvpvXSvNtf62h+bSz9hrEgyB6TkubPCSf1jcxknRDPA+DDHtFXZnnT0
R9eFfcesmmyAI5xKdB1b/9hc1gkQ/GfUCEhlwPPq/03XZW2/y9R9VNn2mvceBSYJQNUYlSoM5GzY
qMm8ne0weHFjfrFO+Rav1unxJY4qPpqyiqMhXILcMSy5etqiQxuYg/PGdjgOsd8uQy6OGpXpqMca
1oKGQCRkXFLDfNzgrHCoKnjOhvMgVf1b0fVX16IltirpyZDGjreeY1RtIy9z6NvYL8WKALFautlq
tBbO26ZEnUMbzirg0ToS7kkxX4hZ382RtlvvrjPOW1ky3/j6x6fB+vVXWW14dERXSpXX6ZsCDhgp
N3yHILve1Fq+i8cIZFp/Fq0PFqw3erZvaE2/dcmjjFFHmxMFsjH0Czl6X85clgbYVCJN1aeelEbg
Wp03KorjtOb4W65r7UVfRtjQh5HuC/2aaWYqx/tYz3a/X67PY9uX5+p6DcLNCiSkpQ5Z7/U1Umse
KiAtPNywulrk8hOQ+J3EtQiB52ahnw9mf9YJGNqiupL1t2TSf+JFrte3kBlATRb3CfKl19dvdaNX
s6yF4zt8qvX2chGFP3f5LiuxXQ+T/Rwl+9RwbkYn3zWFfR934g1h3jV0/7RlGbkDc0TVjc4rx9nL
2+yEsx1pQxH6c4F9w5J+VNviUFvPQur3Zb34VRIBax0DLQIPrqjQsJFusGnw90oYlE3vRQzxaFud
shQOudOfZQ4WNHK2GxgtGH119ftntoa640fGPrThIVK6P/OWXn5e5CBKE7UqHtlsnosuxfowCnSk
o7XRuYWAf8bc9ryUu8+/v+yvTjYgACv0lA7ATxTIIrTYcGPJaizHz2hNXNXVELRmfPP7y6wdhp++
HoUPSAMQvYSFoxWhRTbSnQILpUy+q7L6qtThGBeLFtSighRs7NMBBaco2siZdFiPmLSKA2eWDurs
HMYyv67LZQsg2JWSxZ+s6NrMxqAQEOYl4FfazHk0T1s7jTZSle+curmE2ukDBof/UID00vYybAUu
jsjVt1TiP2J3vxmQHD87lOpBXZKA4odytN2W2LYzSViOXyrOXWwVV+o0nDEHODe70M8hfDEzyFxV
Q+4pEaeTWUeuyB77LgqcIt2nmu5KVfJxmkZUP8Ogpik3TpcNy2+SdK+eh40eGt6A1pYbwrSxWoRt
kI7K6XPGo7lblvRmblmXLSz+TAqsDMSuMm9VK9/hhg3wYvExBtuWhQHQbcCtcdnKyIuFKicrjBil
Gz9bHQjoxti13NGIv4+d8cJomsuw+NRYE83t7hR5j8OsShsMIG/mERKH4Sw+kMzexVnQy6Li4FhD
EHaG5zTpR/zVAUQhgFFUV+zyAyYqntXpFxFCWsLMPzazOCss++uoScz3kXvDM2uO0/0yqXsJ5bJw
WXyaorty7jeG3D6qerLHQvpqSBDvkOL20kAp0I7m7WDGWwNlT1TZAWuGt2gpPEq1pnl1O12oI9tW
tx8wO7yxMnGZNLnh10t2N6Ck7bZlfpU6+s5BdViK4qCPxKVtS6d9lny1QR8SjLYV8nB5PZCbqu+T
lCdq2g/pGhdgMMAbCBDWN/s0MLaGdp61wAk5PNaDpDL/ibm367m73mv8L5gFBHrziYO79pKSv9KM
r1Oko1EU4tO1TDvLrG8QFDq0iCoW0MWlcTzLE2nTltJhfa9qWPD27S6dLN5bcRh0Ij8gE7IvxlUN
wpi3gEbuoKEGQxTvVzRsBo2jkJZ7fCvPTYOFJy2nGl0HETHM1fMDZl3bEj0VZDx2jeRcr6eOlMjb
SNHO7ZwBqBkFwDd3SFK5eo9WTIn8oFY7JdIo0+cZQQY4h+sfF0l3wmbHECd3bjHiu+9yVC9R1eTA
ZIGMSnFIG3lbg6WEYhsUSnfaNeDsQ512R7yXxLgps3RvGlEwWsOZVg2e0s1+HYrTfEBiYlwgznBj
LfM0ifqbkKGO3bSX0CqCSp99lOL8qCn8cuQ16FjChRFQnZUvXVmgViUDDFbb077T9+ujjnN+Nkms
bOkBTd3TUR8Dpcl2coSUWrPywVCaiKbNEFu22zms46E/FWN0Q3K8z+bFB7L0vAaESSTTo3/mbKEx
H2IWt/iWGt2acRzoWHasgdVU72x0rhCF3RvotEbc1nZ9NBGs7Db52KFcoReMmlgnA4JV0EPvC3V6
44T61SGPgCqVFiADehdHh+/SoiNlC9WBB9NeWsCwonLa9ob6RtrxU690Dftrd5kam/Y0XeDXMTcN
9bxuoBL6o5P9E7OLWzNyo7y6yo3Z7xR9n8zFrl9bwnPVB41UMsWPPqwxVTbC9zHwIAhexY1pi/eo
ABxC1D/S6S2owU/ywd8+JXx8WoWr7OtRmgloKi6L0HZ8SZkRfYc1587O8mU09F2qavuJf0uOskfO
8vOiqee6MWH5V2ZuVL0F6vllngS4n/YWiZKCZvDrG6Ya+Zhruen48xjfJMK+08vlc5/NW1EUvmkB
cNfEWTk2j4klvMbisNCl4PeR+Zdr48VHOLob01BIBRpBjm9o04XVIEEXV8BYaWn//jq/WhwW41a4
9QwIWCNHi3DAFlFSheYAUc0/1rJ+blpSQFm3E4vzvEfKIQwsa/Z7jqFGiz/M7SXSlhuNU8gJ8b6W
h03rOIeqTfZFz7aN+7f6x2ucPorjxG/s2QBk0qY51g8xo7mFU6o4fl8BGJuHIEZLp5OkIEWZzcyH
DdaTQS8hSRZBRUO/yf39PfpFTbbyNWAjGToT22NKuZRaWgwOxvEL5dPUxfgpql8S8qC8fKv8+0Xd
Y8lrrx4eBWnZ8ZxGqnWrynIIfmp6ClMdOX7VT0Pbr9V5q9U6J/Kn3381BC9/dXPZ/CRKnECGdbTQ
chNKq0i4ZK2TiBE4esPw7BbCJIluq6AKaaGEtf5yrTqTJdr0ml274Zjt1hUxU5TpjbGftTGY9QGQ
u7oz5nxnmvkBvPsehuRpJ6IPSzJt6kre9sUQNOMQpGbhT7ymmIbAIgtqo+ic2dGhSKSHupBupywO
0qa7VObUG2znkGQEv9jYi5ZZSWQALk/2XSEFepteQ7N1rcHYNWb6aaaqmifrQc6bQ8uHXl8vpmEz
p3Egam0niDaIZkNu7AP4dXtpij+s2VjP9cquP0NTOqhzcTqU0fmUpvCNxaU+h8FAFjgv+l6Rl61N
mb3uEiCqxMP2UubEdHJ9tyZL49gjfRh9iHSJ8S8Vi0j30Cb+Gexsp1Er6/100zjLVV/Cks0gZZs1
KWLSnSrkwWumZRFsxTAQ3fJdGEtBLEsozSMCqkRboh24yYnmoThbouliPb/nVt+H6qekCW+WOqfd
Lp11DmTVENzvmoqEg31AlBohzHMzLj8pfbQNoeM2Vfggd6Tgpn2gDeHNg4FjKr9bhNfVrAInuY7I
PhuyXqvC/kE4h9lanUPj/Yh663oPB9FcykV040DthKOwXV9HgxPHpjGQJwM2hHYuOfwZJZRIUaXj
/lVpf1bYd+0wU+kZHqOEjZATZFjFqZrNPppa11mV+0xMbxbLCVpB/pTnPkqy2zWR0VPnwUZb3zVD
7byTJt+JrPuQeiR0xCXWlBdDMpzpGQE/5Zmy1iIkT+SsOKCeeGEUl4uV3qQtSXf3CbiQ14zF1doz
skPSKmPcKrW2H4vhtJ7jvUYUEsgDIkR5vcyJF1XjWUlxWhnZdUnBmjroPkgtt40Xx9Br9ksd3669
kHWNmNO8XSW/hpHjiTW4htjC6U5nKzvM3bLV5YL1OgboVp/iQuyLkPUJP1htEb+MDW99Ni0K4IxT
PSuWbq2KGyRRdiJ/CKl3p7RkcuMdW/r+9yfCz8EPky/6v8yw6YszCzuaUjJrTXu+u8OtlW7XekDV
+7OFrHJdBmWq75IsurWsZZvo87YLSQM1542y9KcDd/UZ47ynawh/Ak2Q1/G3khu5lbXJ8YEKBkMp
UKbTQSzlu7kQ3u+/LpXu8QG4NmOQeEABiGkDx+DriyklOs1wqG0f6569tKAsF88Cwm0X31jy4msL
aXynZ9eSEQcAqrZpozw08fQJcvtNPSMASQd2H9YSTmgjFq+UwtP42dQTD9FehqoVJSdng8JcGq40
mbpkSgckKvfDgvyAsNc0Z725FGl1HW37BMGAmaIgqeh8jKt0oLc2uxaTLAzNw61Zz9tx1CFtF9ku
DPszgMn7ytLOq0zbGxr9Iyu5of646dg6RTteOExV23kM3RhxP1jxJP+zfo72fOknwLS6wloYfUfv
U3uJXdNcLkplvhjFWoHmnFGaKiZ3KjkFl+Kgt0wiRPyh1NC9zqor0Rala09h0EIHcmvOSzRQOGNZ
qyWFoxreoEV/i8S6W44SWrIo+PHtBRTuvJRuJYKtpxbxDVITAGfkfKfr4rPUxk/zZGpuZms7s6yv
bLM/Hdi+Eq2ILpJushTJdmkIb7Hz8hSNJxA10qHIovdCoyKkciyHEl0IfKI5CfZRggBjku5Du7wS
BkWdQbiKKdbUkhq4GjZRA4Ssi6KbRsgbTmQtI9YJ+yCpzi1khD0ts2s80DcykNVG1vYYoZzb1NO5
5ATrvug0LOZLHYLB7LPM9jPFPoJtO7S0dr0xbEQd72t0prI2ulmPWau27lHCBOHfe0PbgnurJf/5
zZ10l0x55gIr93AN55PmO6ESFJd2h35uhnYH8nu2uFVrYw3ByG5rzlfLFJGPp9ypEneSK+JG260W
fihbZl5k/wOgroZmwcPVw3ifS9ku66YLzZ59hEOA+pWPWWbfJm1/oeX5NQDGnSWqw1p4pxzKGDj+
U8vic9zmyOYWCCVm0jLv6zm/FsJ6AGF/06n2TcPhHDjAkQMTJEbUhfdriR0jIulNWMJKbb9BIsBX
sUaRzCyowygwcRroK8PrR4bENbV1JQVlbZ3K1Mkw8T+ZCWU8+XauOGBVODMRHQ/PKkXb0/Lf55Z5
h0IC+gfLdJFZSFVjqYKIZKPlxPb0o1MO8UZLC79nRHK2Rvq2jN7InX9xcqxKR4xZyAnh+q6p1cuW
Me0tjGDgpNvOSHbEzSTwmusWBBCZ0Z34/VH18+UY9dOIZ0PT+KSk+9/sXc1yIkmSfhVuM2O26gEk
BLqMmUiQVKWfVguVersvsgCyICDJRPkDgrE128s+xJ731Ie97XFv9SbzJPN5JiFlBFmACJ9SWc+U
dZsVEuUZ6eHh4b+f648ry2M0jcQ+HCQvuST7ZAivueH7giR9+jzf8riCi4CmxgF+EFjWiICaydEF
OiwAgjivtwIofQ8OdijRZTNels8RswGQ6vjX8mLYmTfGV3I4QWlfAszwVf/sPyAfeB9M8N/Gdrev
JhZpOS8wX98HRlcazfx6nZqThKIn9IJsMt1VarABuC10qqGFDbFjak94TQ2e/IDOMvyYLjwMjyFc
I5UaRN6dktjIGqKuCsUwuHdVarDyA8ihZAlijuJHAEC8KTVITkXeoztG7gMAYvDlqIFirW1mgYFk
B0O0I7Uq1epBf/k0G96MQ2D3Xs6mYfliDByXFvBf/LMpmtkxjqT8yxIVTJeAt6mfoG72CXjIA+B3
LxpB5aQtMfziJ4nKa2dZmaJ362geAfL7aBqFnUFlhnlCQFYYNmejoH5RGZ4g2+EDX+fzbFaWH1B4
9VjDqLcAJtZEtmejygmC/EN5OQ7rNBxFLn9pHD0BM6l2Mo/q7XIEu7IxhHrFfBPo/6M5lM18hsnn
LUy+CIcwouE3PcePyZbp7qY9RPl4GGRgBlpDkNM04hHJcjh6LAMQvHWQeB+REJw789nxQ1lOn2E4
z6f/6ipag8ADbldO+a7l4NOeonYSxYD0SyItAU//UJ2y6g/I7iBghSIsoBOitvL1lKHdCD0AFaTT
AXkK0Ecoa3XK6mgjrZFmPQbECbo7QVCdMkCEAVQP6BL4BnWRvg0izBQbUs/I8SPghx51YIPSKczd
T3ClF+ORX0F1y9Nj3VnUH52jZzF4HsQX/kkycyKMqkSk9DCUP3tzkmdkjqu1Qat6NCm3RsgrwD06
+vfKvDE6e1zWuwOAip6HXnRbmZebcRIctBr1oIP2v/L54Wj+UzBfOvFotA8e4z9DnRVZENi/r2v8
rDL5Gm1uqAz541koUKL8p7xkrijkZLOeunAVVKinovRSHIJ+N4RXoVCQ0USLJFVDKtlEvRa1OKdN
xym846tsot8NwkkYjsimoRe28ZYbADKuXQDU74aKUABdILFaw12jiybGDETxM05Qa4EJDhcAdz9y
hofLMuxo+bwlerce4aTeOjwJNRWA4ABYif6swxoG0DyPTg5bmKgxv6hHmLWCSugq+nEwSePZGczr
i6Y/G4yc8PjEb01j+H/P3lkjxEoQFjw6jz9LgDVdxOMlgLeOUDtblsPWUehf1ccYrZzb09vsCswD
Dh2Ra5u/GcEY8nzhAGNqM5D9iHG5M1ttxHXcZ4eHrSioPwBUHvMPMR/rqtEYXgcn8+bzdFamaVqf
jqmtrv50UQbE3vnoGUBgk6hRbtYODmdoCxxXmk+Hje5YPt3XYbU50xhIevWncvO5BujxamP01Bqh
Q2YMn/EMYyLi88Gw/hHWJ0YnHyCIVANOf2t0U40xMckfYGh0A3Bp8yUI1SYBoO2ro4+ANb8MUXV6
KGV/2Hi8O3xC1uqxdnAPCPKPtceg1k4Z8yZD8HvSA6uF082BGJ6O3PqCV0q/TYFK74P9vqRq/osJ
rdoatqC9piXfml5Jl5QizW6i4OHui5M+EGGrhwC1VF0NaMIfrH5+AAMOoEZAQcItmN/O4uWuw9p+
jTccr02Bbqu3Psa7EUozjiJuZPyB1ZV/+ZPjHxCgAmBTDbPPV7/HA3OCsd/r7cKmTfuGxhWII+H8
ovLfkgeHJ9hf1AkBwDx7R5gQGg9O0FWNSiZAj6N7GX+yB+7Egx2+9HKQnKH0+ukRkm6Uw0je+gUl
SesEVixM8ZBRRVlD5xj+PwayDW63+svdlv5DOmHZozLm0ue/9PLwyum2536pxCD/z1cvvL6UF6FZ
/5UuDG//fe4tkUB7RSXJrwvOb27lm19rw3cjSx5khT3aK6rdu5BuKMIepnmmsr16qQyu+vTzYCh8
CVNd7/5XplGhdnxRDBspL92wK+RIJ4wL+ZVbayDbuxEOJ64vhSJEIohYjy3VpvAHHqDroqGileoA
nFhbytcL4U9EqAilZDkWPEzMTYP6sF1sM0x8Vyo6tFaK+NtSdcSkG/T1PSOsN1u6nVCWroQ/1oSB
6g1sCeMc+TpRBsG9wN1fwrC9QalzeqfWSCxO++9sl/zB7wdosdSZnOKMMVA2qTIci49iqqsGxGcU
U/bXOpeLcLBYmuoMOAj2pG8Iix/7F7qaZABq1Z52h8D8i2gzHOlLsRRj1Bob3OY411ciiNTLp4JM
MRxbcbum0OzaESG/05oyzl7gGbJcY2DxtfD6cubqvKBCMesVC08szDNNgD62hG/cqfAUmXTrEJGw
pnorEFd3vaLWm0qDhf54zVRBTRPDwmEhy+l0rUedcBFtWY1o6EBMoTYUKWI3iuPUx/2V3f1QSOpx
UpRSwoRVYbvkezHCmFpTZQDCmYO0nOuaKK0psF4xpsKSWbi2Zg6N9GnZdQvYQQNabNf9IN3YFxNF
KN1BDlX3YxSHwaz0ASN2kmnpz6V2HIRBnKxOZv5xCJaXGV5k9cDLxBfRUIZ4pPqrLHooNbGoVex/
ADrTUMTeokjfHALblOHwXst+33NLbUzvUculPcIssI3UcRPs5MusuNZBFVSACxpce/lr1r6Yfyha
6GiKk/rR/mzDdSUWAhsUSu9v//nf0Zg+oYpF9AVWcCG6AfA/i5iK6kpgAiLabCv293IShAdXbhRr
WhFzTgF3xSEYLpyCsRL36M8tKYIF/CVZ+okmTWmZX8BuA1qW4aGtYNwPwMB7MYYbKSdC8YkkhvAp
Ad6rfrT/5l2KRIZyrAgRbWCGYcoORY9s9+VWHKD5oocBNWi+ShS93DMY9r4DT7uAMoMOuhLTeGiY
NRlrtl5cRdGlbxRYOkTKwjpg9v1FlhwB0B/tCHCoLmAJub5p81BPra3kX7vPsqfphTTyb0s2yzve
IgKHUXcEBXgtnxLMR9CibVXKXdo+6ZMvY7df6sQi1h2RNI5tS90BgVB4pdOJGxrQ0Ch5aWzy3He9
Cx0Rym7X1Y3DCrKYKKLaZOJn9N/vAGe2gAq2OhRrJ+3+D4147xntbYphCIguJWypXmfQu85iGibY
hkzIiCrHRXeOuAXEOZTTPGUkzdTH/e/QD8j/KyopEwh0yfaIfIhC4eo+NfW6WJMNxZOikq6VGnFt
iX4Mwr7BgioDCy6TuZCaoYwebPvVXrld4esqE83W9nR/nBg8oJI9W9b+hKx1qMikG0Zt4bZUOyLp
y9JpKLp6+AqVhgzEF6FBlSMUu7qQaM2l9kTCUzPuJUIys+XLz3AhSsjdaPYw6sPsKf/iIp6gyNA+
AmZJfdxf89wEJQjdH6KSacNgzrU99fMAZEudpNtHIAT3tHYUAU3DoZaBkt0t8g3hglQAzsfAo9Nu
UrpOIqH4kR6ijDoDj/561+607x7arf8okfC4IRhmyn8duKSABqIZoTTlAriDW7XN+9kfwN5C180u
9gfSvz4O3FqmWXcegh5ssC3f0dLc75a6Ni1RlIsqmVEndPXKO4ZjTn3o7l5sGLgA7Vnb/jfSNUL4
aTGBofveRrGdhIE+Yg3olzQWWleobyOaZbiKTPzUR7WifYpyYDgQxj0D18GStVnmrGDNmIGVTp0D
C+LFfuLwI50EfcU0hhvDDBsYjIHyUKiI9cv9bTy/hbkwCMynFJTUGNxPXoeT7+pgQWaEIYjAFgPU
HSH4ATEQaHXANTdFaI8HNYWHM1TgilIfOPTpCTrlUcJNcPIcj7t2MZoU4dOJvlVQ4jWgJ6JCFoXk
dQzPol4N/Xjs8W7XYjAM3a6iRHcTRoehVhjigOYiYMYBmInjQS/ucOnGBYpySAaD5mMB+RGwFODi
IYE9ohekdqhWpcR97f3e75bKogS73FK5Ra/dQvn100vCyc7/qE2HXdW4ac9Sv1E/3FS51HQ9uXQV
L1PTj8FSdQLkpkp3xt3CkX1ue6WO8GaiH4T5RadAopr2y3F2xwsR0zxjd4J0QZ7w+m34dsKohemT
OsrThQWpPhYI8I4rvgGDQzFItBUD3tee8i0CmnpMP20lcjeyuEg6N8gsY8FiZg8oed83LKWbht+F
2echGKBregaxOUX1VBhqQrM1Z5AF4TZpktTo0ddaYVAlUFADmehJ401Xzo5HpxlEYGwapb5ww6U7
CGZGFRwBoW6W9+08weKFES2k+Q/WZBNvgACytoM0HcSWbsul4k0tvMARB/gQgg165cYxg8C1o9i0
JQmRwZYJztKlnKAilBo9DLw9k2upHAJQsl3tmQgDtyhEsdEA3PGQZK1japHECYBoWy/5XHbhHBmB
Q47CpvMEAY7IXagl0oKpAdaWx+duiDiWTpaDD0jv9TTTi8YP2i7WCQN042jii8YTe7pAdYPO0ZiQ
tqrarvcDaugM5VChyRTWdGPh6aulKT+2VD+6oSFgGEDNQBaRzGux0GOwKRS37YKvRDwzpIGjGP1K
xsPENE1SyFvbBXe8YCbG5pIZeHwlodcx+BFhUCMreMSg3q+SZxd1/0k4UNJA2qfCUTYHgJ0+eKLR
TbHdNxrj242TawxkMKoAagxHBAVXsb5Yjuq3r8QFgHGi+GLhRgXhXOi6guNqRg+vqdg4Mga3KM1P
BkblD0dVyB0q4QxnA+2K9uylE202MSEozEA41ZqYPamVsmB2EAPpqVE6gLATA9WZgEMX9hUlUhFV
akK3Vppzt69fHunoAXuyMkZnmynGVY4r79OYqjM08weBWXtWrDKxlyhE7we627ieMUleA8s7msQP
MK56kDsHgXa12HQbNwYkdyQOjYwLyh2EukBzeDUdNCjqlyoAYtQL7K86UbjrloLPMF609DFASTlK
LLIcDXpkXLR76asHvA6HPQdQ8WCmcRuznTGF5MSeNV/+i85NkWuGHmmac4kZuDQvGmMotz/u/UJr
lGf8PQbWBqjt08wUhlvjlFquNKIMctQM4ghdJBpZmn9sq9ybuJO1Q8vR8dJEC4bfl2p1pBk5mlKc
odAuTY6L4s6dJl0PqTuoL5rc6VDDXH7hRwxOR8udBD1UA+Ex25/HIIFoPnbDQC8f217Psd1XcAL0
MOj9jzUGu+Wl0vYzlTf4LzzKb8PGtOmOF6sjpm7pwQ37mr1BKPq2p6g1kvD6Yk3iCULPlm57sJjG
igwdI45GyPYTUlxAV0dtM9Bhfb23l0AirVcdythoGeawMtoA0gumurrmaGK5p4G9aNfXKTcYXMpz
9BVpyrXBIGvnQK/QroHtdsP2k70uCChDt5cE58v/xW6p/4cPs8AY+ojpsvbkL11/obGCEEusxfdK
dk2rAINoGeiiaCMeapcLjEwGurJrcCGdM20bF0Iry0BESC2rFZL+waRU9XF/dwExziDW2+CAL8dB
1xNzqeikyyWcOFt1hlCWQZThFF/jIu2ZcTcW3qLF0cSgrBwznOVrQZTN2FCF45q7Dpakf9EmpHYr
3TyO9OCNhImvUeW4MlKq+n1RSXE+LQ9dpoYPgBUfiURb9XphX/LmqMXdl98SX+o3ErCa1XP2P9B3
8Ez0xjeA9NqT7biL3tD1PKOIniOPtaqhTA1OtVCSOcwyVR/3Z0eHojd6aLbKkczqUE+dKF25QL1R
q0wXTQNubLVcB3Ffs1aVo0eokxhtNyjbs1/tfaB7adVDhgu68+V/ghIwwb/8llaE3IZf/tfvSb3m
uEpjpmx5jYYCaZSlIv7DQFf4S1NBpwN8bBf8abB2wDnyh4gTjFFvUzoTkWYWVTlycUB7k4ZNX2Wp
PUQcBl0FmkmAySP2u/frmg+CEfUMZOWkK7pzXWNwtH1lOnT9fHMk45rA07iHMac1F6L23J4dp92F
jvZWB8gL0LJOjhoA/UVNeEF9vnnVvmMctqDw2jYum38buvQ2Vxjnv90mc0cVH3MWclL7ie1rwel9
VXs6+OZ7te8U9trUttcAF/H8W5XUrprRbXcj/wrbhSwLWKQVvErG1AI2Fp+GSVePBzDoC8g4aqtT
i6Apwi7MGUU0tb3Uh/3NReQLEunpGQMOrCxaLSrkI7XC1KdisPYpXoa2elSGa6Q5GmgdsUD1QVG2
jKOExjGkgyM40AomsAV6mkxw3NqKbnE0nANoD7giJlwJR2EK+if6QPtIdLOZw329QKO9ZnVVOHCT
PkKOjf3DRAN1ZvY/1dnghbWYBke+hAoEInIFtdRAhSNFcovi2Tignh3dIOdo1c6AYS5lHEepNr1x
MaZSMTpzvhkCa9lTrpKeHp7BZAT1qP339B5VRrIv+uny74Mu2hgV0XT9HM0C9/CJMv44kMsgKlKG
VY4wd8aoB4mxIH6cvhHlPzOtsIYKyRFRblJgMhqWHmQ4wEiSDO1NFwCO0/Gps/EJDHGCJkomjXRG
laP17Kszuiyjih2hW0XVOoN+2zbxyHrNElIJEyYefvnNcyeL/EGr8UTT8IBrgSfoNXNwBTmyrNnx
ym6BjeN3NjIqbza/WsJFP80NOVCmsmY/7/T7VWQrVWZpo7pGamW3b3Cs1rpXN3z3vZywoq58jjpU
lKl9DrzxSq/lxZWGFgHR6+T4GFVljQaQBbbec0U7/G08vgxE4He47+GAwgF66nwjoumOVSVN4Gsb
zRUcVY/NUCz18BdHiJtUghYJ5EhAO4EXmOUTHIi+7R58Cb3D+5ghAngGx6c3pNoXo5CCI3B5Jrzx
Vys+GRIf5wlma2jeJqBQlbLZ37LtILeLXm9NNCoczYOEj47wiXZ9p0PK6DC+opQkb05m3rphot47
i2xsVapZVGlTAOlTmJiLxRAz9Zj92fuAjOASIJjaxgHHYhvl97sGilBffoeXQobtCTwsMQm0zeGw
MJvoGDXDhQx5og6p26DQgeIY+uEE5HX+8dIFJog/+FORn8bhDaZV/QRFBhOZFHHRczj625wgUDaZ
5mtyNLmdyZFUR5h0EMdAiTP08BBwoMK1TfsqZC9cn3SzESJ2R+NldRfSoMm1STocCCIr+mmqkDab
eiFeIMdokJEB8FNT7Nxf1yIAqTX8rMNVvf2yuXDRr7WS0PQdrnstBAE89TNNsgBDYv8Wl0A87yLP
rCilVxxH7YEzDIGUiNh9gaNS4YCPuHHnJUd4Bc06HB1MN9IoEuOoLH4QPkqidXOCI0Zyg5I5nSrH
mSUG/+oCoUgH00AzkRKW/Q/PrYx7iG0VXi4AS2N4gJgimUavUFByzIPn75mlcwzHEZdUBJz94jk/
HOhQWbjowvWQlPm30mmEoGyEUr0s0kwnFmkxzKpwEn+o2SnAsLPflPtgDNtUk9Qqhylxj2YafbUc
k8PuEzTQGotlkMyfsb0yi7yfJTGGuii+ptEwjlzhmpFZ5UCndWiME2Vt1KHNr7sGnLx6HaB5NXQ0
loGxyNHSvmquzXD3Ae/vB2HpxwRTaWAvFppxdZoEUga+LA0DB4zk9iaTd3R8CvAhbR2f/NuQbt5c
YbNn8cO5GyCvokktxwCyuyQySxU50q73X/4ftX8LNy+sGKirPn7tBstzsk0RBFQffZu4aBG25reV
i6J33ymqv60yKxf1L4Ir/f29ZRGO6Hf2lls2eyX0PQ+OyV/+DgAA//8=</cx:binary>
              </cx:geoCache>
            </cx:geography>
          </cx:layoutPr>
        </cx:series>
      </cx:plotAreaRegion>
    </cx:plotArea>
    <cx:legend pos="r" align="min" overlay="0">
      <cx:spPr>
        <a:solidFill>
          <a:schemeClr val="bg2"/>
        </a:solid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plotArea>
      <cx:plotAreaRegion>
        <cx:series layoutId="regionMap" uniqueId="{00000000-8B70-4BBC-80BE-A10AE144F36B}">
          <cx:tx>
            <cx:txData>
              <cx:f>_xlchart.v5.11</cx:f>
              <cx:v>Column2</cx:v>
            </cx:txData>
          </cx:tx>
          <cx:dataId val="0"/>
          <cx:layoutPr>
            <cx:regionLabelLayout val="bestFitOnly"/>
            <cx:geography projectionType="miller" cultureLanguage="en-US" cultureRegion="US" attribution="Powered by Bing">
              <cx:geoCache provider="{E9337A44-BEBE-4D9F-B70C-5C5E7DAFC167}">
                <cx:binary>7HxZc9zGku5fUej5Qq59OXF8Ii6AbnCnVtvyC4KmaAAFoApLYf31k01JHnazzR6dOxEzD1cRNkWC
6KzKzMr88sss/fN+/sd99XDXvZrryvb/uJ9/fp173/zjp5/6+/yhvuvf1MV953r3p39z7+qf3J9/
FvcPP33p7qbCZj8RhNlP9/ld5x/m1//6J3xa9uCu3P2dL5x9Nzx0y/uHfqh8/8Kzo49e3bvB+t3r
GXzSz68/2cI/fHn1wd/5h/71qwfrC798XJqHn1/v/ebrVz8dft4z2a8qWJ4fvsC7VL/hiHLJqESP
f+jrV5Wz2bfHgdZvEFZUUM304x/2XfbNXQ3v/5eX9biouy9fuoe+f/Xt67PX93by7GnRu+irUiK3
W/unD4+b/Wlf6f/658EPYPsHP3lil0NdnXp0aJbozt59ufuuk/93ewjyhkuqlUD8qz3IgT3EG4EU
RoqTv55/9YWv9ji9nuOG+P7egQW+//hQ9dH//Z9X/acPsIj/fw7+d5yD64e5uHf/ffYg9I2mlGsq
+f4BwAhOCNISMa6/i/vq+qeXcNz1v7934Prff3zo+te//Xe4/t9HpL+idXzn7zaPYf5JUHr56fdo
dvDqS6fk6wE6//Lza4wg9v+VPHYf8e29r+o9uyt88V3jf/3+w13vf34dSPxGEKIJU4gJtbPZ9PD1
AXvDpJBUaimQZASD0azrfP7za4LeIKUgrxBEmcYE49evejfsHmH1BhEwvVYMawy/w//KrW9dtWTO
/qWHb9+/skP91hXW9z+/BhHN19/aLZNz8CLNJJJYcYirEsPqmvu795C+4Zfx/1lVR4NJ5XJjx3Ga
wsIVLilKpc/dUrA0zIh213Icg4e5L/2tmLvMxE80dWQFOwnPV8AwZ7AYTZTcXwExbem6tpObzLpy
27WURiy3eEPK9PZlSZCOn0kSTFOlCQFZCu1L4m0XpDWaxKbGuI1Rs/I4t1V9Yj/PNQo65QpTjjll
kkOSeqrRXFXIkYGxTTCW6LZzC+qj1rmsDw3yiG1JXfmztrXBjZgH/us4O1JsX97oTmX7KuUa/EkL
Rgglmu0U8cSoWtpWGkPYZunaftOIXlxXS6rjuerrZBbcRhSlwdnLQomGI3EgViBEMJGQg8Ge+sCS
mtRpW6GOb5BtTBa6vMjRecAq6qM1J43e6Bl32bnv8LRGuW6tDFPElyLUTeluMx+wT82KpiUcy4pf
2UZUPESjaO/KwussrFyWFaHpNL1s8doVYWPWcgnn1RIearrOZVjk6SqiZbGZDmGl2CedytlHpFw9
JwWfiQw7aQr2xeR90EaqCey0TfGUfsppYX4DY5n3sqLsD1W25bhdENb+rDaYVZFotXifLbr4fZUz
F+88z6v6EyvnioaaL605U0MgPmd8SdkNrXQ+fCrZUiXMmXXcKltiEmGx0j5Evh5/lVNe2A2emW5u
0qEiHzIhbR8thTSfVrEOONGsYiwUU66r0HVMrBtL0uFOtAbf04yjGIl6opduLOY5TGctxmhlyIuo
RSNuIoZHea2GtV82XILaQ2nylIWD8TwLjaqqJqrBKejWmqBxcdOUQRuPfh7qmHhPmrB2U5vH3jXZ
ue1W1W5EXVMTccnrbaFkh2M2LOsUVunAb1RezB+zJpt0iOt11eFcrepKTnXRRR0u1H1dzbyMmOJd
HZECs3jV2CSoKFMcLmJd5kjAQRmSqWoeAq7xh7UkpgjH2Uw6In1d/9nqguVhtsxzEYI6x7e2G/9w
pljasDKODWGneJ6FTM3tferTOlqDHp91wTTKTcp88a7yMr/SvdC/ddmYP0xdUfchDZD2oVQr/a2i
Y5s0feUTyQJ1WZeLHC9NoNnntgmqt6SlrgmLnrALO2i5hnKm5HqetUrDdcX63SiE7GJRzMKFeM7I
NitdUceOyH6T+qUV0WQRW6NRselmxvnQRqyeLY61G4oi5CTIf2nKMX/XVGUVbArW6OEsS5Uooqqv
so0yaja/1CMozYZZIUtxMQx514bN2jJ7MTOTrle6nE0dN6TW7wup2yHKA12byPXlmvRzF4wRWRRv
4yG1tIrXIVjXuM+dcGdsqrI/2LgIFlpdmSYkaaNE5EfPwlY7c99IV9YR9SuqNw0fvYtILQJ6a+jk
02ixg/Wbcu7djWHWz1FRp+v7ZVjcZ+VXcp95V/BwboP03eKMus1LI0WIeZN9agcJPm4m3D9Ip+xb
XSCGoqzqzbulwD7bmBRVXUyK2vRbxQP+CwtQ/XtHZvuntj5QoW6r8fd+VekfOENzC8EF5zjkkxVt
2LOyRmcNEzy9HatuQSHRqKARktkwRKZyMw4hllcqQmiesrBzJZwTLI1+K0ae+5iMFv+a1iktI2yH
DHyw5q6O+sKSG+QNLUOhPB7iclg8/L0N0BznZADDUMwx2RbINSwmE5EsGgu9fm4DEeThWHl7xzM3
25Dk3pmtrYdZQCALCN26kQQNHFbVkbhQNM/jdOgWHK6210HYBWuV3dKmN31Ey3pUsVDNVCfDSJs8
DCZk20gSSETJ2sxdFXo4O2u44DbvQ41tDmEAFQSCy6jmu3noAhmXTjZog+YGduYlDdYQcEOWbVrT
0SmexwnlFywtSh41k6E2nkpl71TG6rcreG8epm1OaEg7t96KJbA4qtSY3uuhMWwLx234XGUB+tgG
vErhRCiJwpnL3oQdIpOJetPgLCYMdSoidqEy1l1X6njqLf9YO+PlmXXUdLEVanQX0+DBM+eyE58G
rLkJG2RVHaWiL/GJrCYOcppAGBOtJceCMaaY2k+lykEEGmzFN0E78HdV/87hlF+YtWreMwm6ejmH
HpNGEcVKCgBkgAr3pa1uWp3oDd8UlQveTqRe42kK1HakFbvOjX94WRzZfd5ToADlsoaYS4HDQAig
yoG8rrNrByGEbcY1G97lqrB5mPNBzhHq9DqE3FjaRVNuzLQxwYLsJ+JVkMZ+BMffeN32Vdwy0Syx
b3t2jQbb89BlNEujYLTLdE115kTcVkG/RGwBZuXBQuaT4cv7wM/3gYRAAjI6BVSsFKDlp4AHCzUU
PsjUphqmIItYLzX+g+VjD4loLbW4BKw0k/PW1KiPZ4z6LlxWEvBtC9F6+AoAv1Ulb7/q7yvGvnfN
0hVZ/o3C+uvbf11/58Ue6ZX//PmOBPvP727Hh84P3cOr67umf7Ud7JdHauzwnZ3kv14Cwd9WsqtC
9r55VhD9TcnzlXX7m4f/tXqIAKr9+3LoY/7wKrzL74AhfFoU7V76XhORNxCAoCTiWkAVwxCchG9V
kUJvqAYUiajAlChMoGD4XhXJN4QKLZTWbPfO7tG3qggKJviYHeiUTCpEJP2RquiwUgBsqKDwUpRA
VSa03GH8JwCad1O/QPBuEp2PLuJ04qHtRPODMP2rFEWEoppzcoiXMz4MjM60SbI0jUafaoDDuo7K
gE3h7BYbe8vyExHm6M4YBooAFEnVYQ20unxdFzixSc2Ig/qg76IANf3XI/CVTPx2Ap5WlTtD7AWW
3dYoYwiIUwFFpTgIm0PmfD+kfZM4XLdZzArLRIxy7WIHeKuOM+xQEwIqy66WygdLuGZBdUGtLfi2
wy0/b1E7k3Co6j8KMuk2nKwb6AcjPB0S0khWhPnSB1dLbgPydsAc4NZQLIu5ZBBZrweI5LcNrquz
vvfB9RNfPrI5vKvgnkZNRAijSkLkhIKeC7arg554x+RWPQx6dEm/BuxtQEi2hMzmJKpVTj4NYkjD
ZWpc1Hudbk2HxjPGGrNdAD3YMGjldELbz8LfbkEMY+CglSAaEPj+goSGUkvJ1iVroMQFw2T+XEDK
Dlfkll+WQFdvg5WWSRaMIpyVpTFAFHb5slaeOxaBOoIRCrhAaL070E+Vwh1Lx9FKm8i0mn4tRF9f
j7JYTkT6Z35FsYBchRF8UUKIg50GBbIom7IqKZpxidTkqgskAABWRdCd0OphEY0g+AA5AwyLBkHA
xOxviHFPcI9snrDatpf17OdfPSXYhsrZT2iegy8460bzo+cTpEoGxAGHQwrV+0FGXhraLuA3WZLx
HGUhMnN1MZR9fQLWPNOjBFeBbAnqBLMpfaDHjMixxR63SaGlusgLX24qBafHV6360R09itoRXUDv
KCAt9/WYNrpkcz+1SeB78xFq0Ms+kN0JaucQOCEQAnbCAAIglML/9oUYS6qJmqZJihRKic7P5Rnx
83hbd7q7rgYufzR0S6CqGAVRCmMJXYl9eQUkLy2WuU2cmt4SWlytzPTxEIybeg7u+WybE47/7HiB
QMFBJKQjRYFX2heYQhRcAfxC3FYii+rFpLGlOf9xW4EUDRBUMIHgKO9LkYOFko7KJsGW6HAlQ7/B
GErpHwwVu73AfxgiqEacHKA1WXjQaMWaZOradLOY6Y8Zy/6EkB1Duh+ld1LgBAMsoEKiR7bqSZRO
fTu24JWwF0bXaMKTjQhefdit+JcaL+JKpaY8a8maR6Qaim1LbLZxExIn4sgxy0lApnznKEiS3fMn
6yB2rDhJwXJT0zdRX2m6XS1PTzjkI1G7l5Rgu5KCawD3xgjYcF9M0ZZC9Ri2q1PdxMoTH5p83JB6
+rDU48e8bYqwoFCiIZdkRXueNvj3OZtNmHW8iqCqCUKddSdWdXTvEMhA/xhIwUeY8GTvjGdlCiVw
kyx0+BikJNiydjkFo44JUURCkAavhVS4iw1PhFDeFwJ1IKRpvE0CKDwiyVh2wp+ORExg3AE3CEhx
QNUfIJq+V6Uz7dwkaWfR2VA2xccSotrF3EtzIjjvPurQlJDIERGgMgoIeH9DCxhjHLqhSUbngzCF
0najELfA6pgmGuYyCHndLpsOLc2JTT4/NAohDPGTSQ3YRtID0anIUsMa1yRi6sfPZuD2wvZZkDRD
38QU0NnlICf30IMHX091WV1UjKaRSPkpCntntD0dKISplEDFAMACsH+wkAAJ6rzTLiFZ+ydCgdk0
y1gBj5bSsBzGMn45JD1L9ruSAWp82D7EJWjW7Ku8T1XW11VgE8NqU0adbTMSjuC+Nyb101lZu3TZ
1CNbPr0s95nvglwNWAYJxeDo7iqkp77ruZg6Mw02maBauhYSTm2lM34iO7JnsXAnBnA4VFwEelDi
IOLO0FGX87DUSTUE/lOr1HKul2o4S7s6uFyadoyUX6bzvM7zxAeyupG9opu6BjAghnr9DIpbzpmq
eRNVfBJNzCYzb7LF6Y9yYL/VrFrelQGkQahdxkSQHoxUtu25NpOPoWfUXNBg8KFF8xAHAR/eUcnG
TZl1ZWirEV3aYc0vU9T5WLGg2FBP8yhXtki8h5hUZkOaAIFc3jT1KuJlhbj2w2agSCCNoXqEP4fg
NdB9BfTcYpN8WXhcI4DorRk/vywEH/FpkCIBboldgYsPQshEgqBaytkmXVrdZ01xOwtho6Iogkjj
sYjL0b7NafDBonVjsODhlIokH7ItocD4YttcubnrwrnRp9DFs4gD1S6CshkakXgXRA/QxZAWo1Pt
Cu5P5uF8xV0Xrw3VISEGRyPO4AQQiAKswOrEwXsWVg8kH+iEt9qoAQjLpJ7qKRpGPoUWiPe4Lgb3
7xhZMVA+FztOb7eUJ3kiG1cyoWGyiepmvgFqOI9akfPwZSsfOdEUHAloKMCGAEoPVFnShqYm2J3o
Hpo4tAa70jX95ceFEAnpnqFH0HsQNlDA2wLNQZ10WLXA4kNfy00TPmGbY14BvASBVAScJFBr+woT
tMtk2hiwDYCLbapY+VueTjxe+sldAyUoLqbMj2HZBcz+G1oUgJegJwznksqDnD6WRTFUdq6T3LLi
F1YhGwfdxM9eVuOxAwndbxgpAkKJwqzX/gbXPl0QV0WdkLoVl7ay0w1ExTx2WcGiLmP53cvyjigU
DAbkCwjkO/ZgXx6Zp7klwtRJMPZBwulQhN2Y0cQ4NYR+sAP0GiTkGbt0J/S5A+4H6RSmBYAZ0xgj
qMMOJOtKVePkxipZl7qLeQ9N9nVYu5iWnfkgwKibTNouzvqiDV3T4KuXN37kUOyJPzh60AWwTTD0
VRK0bI5q15bRLLr5BHo5Yk4GM4cCYBNkOsEPpJRzSpq05yAFhibOZkCeZwaIphBDN2bLaedPBJTn
SoVgCQGFKQV4ieqDWn0NZkDVLq8SB89ia9xvE0SFz0oZEelBQA50ObsNcumieh7V+cs6fe5M0CKA
swmDQBBsiDpw3olmaHQCNQkMUNxCjNbQj5XBbTt0XVQ1tgYGvkc3sspORAX6XM1YAe21gxSQyZQ8
CD6YtlNWZKlL2rbw/XVZdynMJhomg8u5aukDAfNCBdIFbf9uHvL+GsoA3kfTkiK3qbNZ/7prDkfQ
ZYCwIZZOfO56aFZD+4cFd5OppAnxssxd6KH9BRMAgwcWVK6Lf4/KQBZRMwxQtpAsxVk0T6PHW6JM
/4vlfjinZeZ+HzJZTFGjmqYJs6lXt1DnxAS6buozzZSCDpmb8t9LVXcPL5vkuZtD7wGAM5BFUOzB
4M7++Z58PZt0NE0idYA+95CxQ1907vPLUp5jVQzjX1BMUQByAsLJvhQ7rrQOWu+SAAiONJuv8KRV
mFL7US0dtG17pU9Ej+cEo9pVPAIKEqj+OcTLfZEtKvpcdYVNEGfDOcwdpBcLcnMM5yO70CQ1YVpO
djPXTQrsS0fMbS+nUyDt+b53i4D0DSBlV6McOHwNreWS9GmdjHqHzis9thdDu6pzaLavS1jLDF+i
VK1fXlb3sc1DAgRHlxCyATocgGch0jxbOasTDz33rWkcuoHUH8RMdiaeJ+9vityo31Mv+1C63m5N
a9bk5UU8DzWEAMcFnKSGTPx8tCbIuxrlK2QOS5uPFZXFOTTT/EZOrYmgJ12aELh8c2lyP21ZWcoT
8o8r4ckCDjzA9YBk2pRAj5nO7l3rV/NuZrzcFOMUxIbz5jKD8bJtUNIqGpkLwkITccINnx+vfSUc
HC+YoUAyXWidtMVwl3mr3nO29idy9DEhMIsmHtk9+HoQ1H0P9PZI0M7LaP62HxkKManp2cv2PC5F
7bANWBQca/9A5Vk5DU0H+EamDMUe1+Rtly7qRIJ6TgopAq0BoNhggh3DHOFBqKCj7jumWoBRpoaJ
HjblH+Z+8TF0EYJrzwsbtcMMkzQplPPWVitAu7l8UDCytVnnQNzYhpdn2TKUMSu9+WFQsL+4Ax0M
IndGY5hIa5VbE1LZ5V2Qym/d2L9tRe2S/j7yASlcyt0gP/Aa7MCeeT7RdsCgAsua6hOlrb1a27LY
GJafqLKf50WQJBi0Xzg0vyBC79s0bbqsHFhVJ8ta4Eh1loa51PmmKbrfvbSnaoBT4g7CUkAgq0Fy
AXGoSiPqqIhFl6XngipzrtMgiF922aPyoMPDJDS9gFrdufST8qn32dQWY10naEyzTzV1OAn6XMR5
Kz2w0i79YTQH6pSKAmyFNAI9kX15U1oLlS0gL7VDcFVNmdyUC2sirfolIek0/rg8ijj0kCmgKmii
HUQXa3uUTwu0lmAwb42EGPKN4u5uxWt/KdfabV9W5yPLfeCYFCpEgjShGnO+0/cTfQaZgwlXF5QJ
5LoxFKb80zcqyrzfuszeBqjIwnEF8FqUVyZoL4pUxbJ2cYfLbeCyKwe9Phg5MttC2LhyzZZWLgEo
FucVyk+Y/kjmBVoZHEfD5QpoPhyYYkyh9zA20EFkFQzuKKAfKL2FTn0TqcXruO6wPmGM3dk/VA5M
3AAdB6wu9BUPApfMMpx7LcqEom5KqIS5NeWLMkK9uc6EFReZXBFQJ6I/ETKPBGZo+UHzTQDC4M9K
tDFzqw3cXCbLNPA4aEwb9y73JzIZ3mGVg/0x2BiFMV0B3SO+e/7U+BKtk0vzMvGlVVEFDa2ttHl/
O3stz6ZuLS5IKte7yhc01nhAN2ic9TmvujJu2KhuigrGbF92yJ0RD5cEg+C7QQRoCkL9tL+kXnc2
rVdTJtJxdE5hri5mqMAxrdSpJudRURBJYP4DLk9BLbEvCob1FJC7sPvSsyKxyEDhm/n63Jf615c3
dcScEK+gnQrgdUf9HPhRTVrEVK8M1CopjGLSttv6UpkTqtut90B1MOwNHQgo6mGg6pCt6NHClrpx
JqlH8Bw1Yv1hMCOCIct0TWw75h9f3tUR/cFQ924+TAF2AN5yX3/QVx+hHqQm0RlmF9AAmbey6JYL
NVh34ugfFQU7g74Hgj7OIfIfApicLog3SV6PK2SZvAvXhZJzMRh2In8+etiBGrWgGLqP4BmSPzNW
j90wjLoAEh5PH3Wbs0iPpUt4M3ZxV9b9WYc6dLbaJd+KVrDrNRD2nEID8ZKqPH2XFzB1vwAj9oXK
jLdhMHO4g5iNsZ27IkZjXUaihP4BrQJzKcoKJsVtOt6WK0ljDhPUUb901Y+ORSgg3ilMxEOtBmN2
aqffJwd9QKJs+xX2NEOzIxZjI8KFD+WJcPk8QAPnqCBgYuiUELhPsi8F12lfVGNTJK6FYXPHG7EZ
uRoSmAl2iRBBum2BaNv+qBdCUoDsvNsVNMbkAQChS+7HusoLmFTn5RamjfmmdTCvI+V4wt+PVB9Q
9QCM+9rfh4sq+/ubA5OjXNI8GToXJNOg2BZTTy4G19LNlJMCbli0/pZP0EGYJk0ikXX2xElgIGPf
O6E/AwNh0IShkNsOR09GKO1amEcqkg5GjrbcVX7DZ+5OWBIfFcOA3IWIQqE0ONjqMAQwL6F1nlQw
GwcQIAvwpjMojYM1naFZm9KzCiZErpra2fM87bLbRdvfs7ThV+s00nABJ76ky9omL1v7+dQTQDEw
M1APHGhn+GbfBhh6LxTuOe1sEKTnQTHNUTtn/RmvVxIu1s43lox+U5uxjiuyyrO1cTyEexrrJu1h
Qurl5TyPS7AaGPqA5AmxHWqb/dVwMU+sdSJPsl7wz+myoO0IxVCczyW/eVnUcywCVof9Ah8NeO3Z
EeY9pGfqeZkgcG9gTPsmNAN0ruAqVhsKy2joMxjiBgLkFNV2zO+hdiEMrvTBWBBwm/u7JIMvxoW2
ZUKMDjbzTEwIAZQB7zJOZ35trtgSXKc8rcOlWUiictp9eHnzR/QMNY2Cy2iQRQEaH8QvOQ1wx4Bk
JaDw1m0o9OjOqFuGqFOYnzhgR4IYgUQDo4kwjQv02UE9CBdwcrE8ZjVC+osgF+qiHq0PYW3lpudj
Gw7+5MT1keNG4ETDNCnZXfI+HBySwjaLKSGVLoQGURfgLoYm5Um8d0yNctdeBp4Y7kbJw73ZVlm4
pWESSHw36wz3H5ZaoXOdqyxqcOldaBo/xSjFAORRUJyLni7xULA+tGnWQuNTBVfQOrjEDW5++XET
SxhwA14JWn8Q2fadLKdZJdS8mmStlptSsfbKqLEJYViTXbws6ZiyIVfsWtAwHQpXHvclsRJ7uNRV
m4S2wqwhXChSoWRDn58IDs/xGEzRQYdFKv445HrgtADGghU3FqAYXXCUMgHXgor+wRB0C3GrOiHt
mN/uOn0YZvYgMxz2VnxHUM5hliiBCjLdrj0DzFy0NlxY3W5zmVXxOFTsRJ445lAwqAAlCoyiwm3D
g4xvKq3badYAOa0rtk0jsq3QgG7pSE/1TR/70geZb1cTIMCceDf5epCSkC5wPqEUHCTAH3IvwqLz
NwBAr1JONmMuzwxvz/sSuFG4zEVH+R61LQww9zeq6GObAes+dTcsnT/JZjx72aOOZSW44Ajk1uMV
W80PDpaUZbAA2DNJBdRnVBZMRmJucChxMcWiLvl2Ml1zs3LizmGL2WZI1zGRwSBgnCY7xSEcqet2
9y0fp50ALEMjYN/D2x4wUdnBWTLj0mwKJPDlXHd31dCUb7N+ej8ZuLgH0+DQGICx1agUfr6oRt5t
aOv7bQ63Dk/4yU7gM9txuBC+60fDyPLB4bYw9wE3bCDwmEaycxj30KFtUBulFpHzpqbQPc61+NWR
fDxb1ubfAE0wkAzEAQLP2U0V7etjlNLlaATz6KmBYh63LHIwyHUCmxzdpASGAiag4TY1oftSUmcB
/QYLSIG2SZQD4/kLUguOgY3mcDmQoGhRI4IbZqy+6R2jJ3T8uItnSoYyEzqrQkKH5MAJ4cZdFmg3
QpVZYShe8nfDuIZDK84nXEYNUhu4OhhxMLAY9C21EIF0a26BE/zYTU2y4nTbIBn7Hoc1hlGLoryA
y1sXnpWXPcykMGvufdlcyWy8gsFFuN9ZvkPN9CdfmitLoNFFig3n2Ue4SvZ2QdkNtjSCGZkIpmZ0
KCqTzLqMVk3eznP5a926+x1qlV27heL4AkZ2t1DKXVMF52Px52WQJmiawxYGcuD6HFRI6rxsm+1E
+ZmBK6ZNkV7Omb4QMK40+WE71OS8DvDbRtTnaMnug3K6zCe4/Dzkt6RcCFzzchAEqxhydzQJ95sP
6NmoeJLO9jzFQxmqqT0P+vbDy4HhaHyU4PA7+pBjfeD3kg5ZO01wEHML/dCCzmhb+7yAZWj98WVR
x7IaFF8wrQY0HoWWwb73zXClb9DlLn8GWCW5hgvN2VCdGvI/LoWBHKAYAEkcQMG21Aam0JBJ4G5z
ezGBJ4UiIO7fyNBawZjY400CGIXb30s704pUYjIJG/AaZykycVDP1fnLGjtiHDiIBDIKkApAfh1o
rIGrwJWFJm4Cc1JwE7hpllCVNt2WzamO7O6TDk4mSIIOPbR0NIgk+/vhY8dywyAyLEKtV2NQsgiV
Tp1TV5rYlI07USscsRLgOwqlKoyRwa26A+RRA9XnBwI7q4CFvxymwdwsIj0123xcCsRJYKt3ndmD
eAckwlAjQJFJPXR1WNVcbLIRcu7LVjoqRcBV26/A/9AXJKDUqdrpzoqlvRSFHmOo9+oTrM9RX9j9
AxQAnYBy3f0bGE8JEsjYK6H5YJLB4GzLfL3EU2YbuLTeZJuXN/RIVj3zBqisFTRo4Lbt4cWd8T9I
O48lt5EgDb/QIgLeXAEQZDu1umVHF4RGMwIKHgWPp98POoloBrmavegkqViFMpn5m0Q6PSk9ko5s
4XrwwTNKTAAc0U0nqTXp86CU9XoQupPLCGpYbwUrReLpXpqli1QVc4EHR1HN1uec1CLkZc2/yFRv
P+ar948Vr+tBmXvr8yzstjjkjgJZr1q84klbIDj4beOM5v1gNbrl8zf6D4k6DYqfatM4HefFzoj1
HW1Bvkhm98OBjRrlwkN6piamV91z4lvtJdalh1xzLMevthTZEBSynPpja42D4wvEVlNQaaN9LGr4
xUEsa/0vlbw984faLO9KbdSBMw3rB4QUa/aNEkShQsf6LNsl0itdc4JuHhAL1+Bp7ycXOgbEQ734
1vSevv2+ZT7ZycpP7T1rzIPOLe2vRaOqr71dI8py+15+SVut+3tdQWiDdEgbL+TNzr9yZO74lxWq
0sIyD4ZaWAPOD1bWB54+2n8ZeWa8StIgCxbUlOdBNWJ+4Le5k8/+4tj1i4T9eRpKrcnCDoeER9Zs
WO8lXhOf2txt7xbKve9LO5WHYUlrsPhVf2onbYhUaylPnnAEqnKhz54vG41qpmO36xejm13AhVhJ
bxmBXMgLNvCKWgkQL8Tb3c5WpBa3tWqJI3Lx7Nh47r+D0SW+K7P3qmyG+7pzzRuB0KUjS+CNY9nG
cASmOz9MMjUq8kpq6k5fKuHcKeshFXZ6o6Z56VLlFKmuQ9FvMzo5H2VIetYT9Pg4kesRy+jWiNDc
miNdi5enddLa6PrBvXRHUEL1YDohcrP2yKqqTurUWUzL6KmGuTnbz6wpyEyl++n6SJe+mevCBIRq
wZfzdgtYjeVKsWoWR2FnfaQkhvuqVAvl9XKZji2Z3t+FvcY37qVL64kYBloNNWDC1+1H/VYjLgZ9
jEUD27maZv2e/TneGeVcH+ts/gG+pt7YJBdWkyLx5pHGGwULeRetynhwtAqV+RGzgDLwcmtz/xD/
rMiPbkzsUnbGUIA8VKYhO+wxY1dfZZfXJPy2K8uPccFjoro4h7RQaQJhto6vQQM4GF2WhlOc2A9S
b7pDshJ8JqN6S41y4eOe/ZptYX5bZ7fMWkeNwTLmeQrGuu4DqzTLcExymMC5Ut55Jtfd9Q11cbEN
uDsbyEvgthuz77knHcn5xwjRO5hW2oRDs1jR6tRGeH2oC9vIBLl2iQ0pMXHrnE+Paz9xed0Iede8
OEFDV6Mky6qgb83uoHbU6K+Pd0EsAlDz24C7MGRys2HGJCQ7Ois8vSSboR4lJlVCGbehVXVjAMap
3NVZVUV6MxlBXzjeAdncjaBrO5S7Z52COYQLSkrU19zdoZ0s1Ki5RqKziTvCUfYNRenqm17M6iHz
nPLQd2Z7VGWunPRmuHWc3pgoUAs3qdRbVF4pQqDiOF93aE9zlTk6d4Za5YBO9aH23GDK28feHv5d
HftgLiKyc/k5nrI7+CiPBHAB2yFU+uavWau/Onp8V9jls6OOwVwMH/XBW24c+gsvg4l8EHBtq0LC
Bzr/kSPSqKTdEKLJ7opAZpV3yId6urHbL4ziWRrrQInT26SR56PkUN7VSknASBZ38odBr4+5m2s3
5nJh4206Y65nd1Mac67Oh1ELXHsaQdosFSjUU+uVBzvv81O5zvEdeLDz6ClZ81pXRXxQZWoddFuq
x7ITP6+fgLcnbgMqSfoc7kaQkd3hnuKhW5y4peiX6vVjbnX1qVUM/UhKWH9vW8M5/f/G237PbxeY
OuiJVOF4RM6SLaGZweTC3gKTlnTBl0WX7Q2l+y/h+PnJMjcvFjjjFOQpbeyuFN1j0wComBGqqPS1
MdLVwqMgRwQdu73h+CtE2+Fd14zNR3gaglp2Z9UfRdwZvW/U8WBEreZUme94ixwJyCrjoU87dwlX
OJVd2CT25B7SMYNJsi6dg6mOYZUq/l+x9ho3HBe/6MScBV5RZ/qjK5e2pcA6YC6WDhIrj26Yje+D
Z9W935WVTH0VLvI/XpVP3xE4l1+FU/cEvPApal+amRzDfu3WO5maehtl3UrJvVIntwjMnLTX1xRl
jZa5UF/RWqpY1BRt7967VZyXp9iqWy8QLNXjKPpiCBNbKclSFGv1tcK0mtCevXUMrDapixDPlQbJ
WjnbeThTnXqZc2cQh2URX3JL6ZqDGsdzETixon5d4tF8mV3RNn5TzXPxAGQ2uyFQ/uSMnRYVhq2W
oe2tm6/UWM5P/PrscZSlNIN8qfI4yAfVuMW2vcAdJGTdOKc2JU2X83a+2XSlyODlOR4OBvpdbgyG
4ium9DK/x4kHM5dFHvJ6WSIQg9jXutzx+V14FuFl9ey28XgvPGVNwqobWkwfbrHRfhW4d1sTsgW4
mIPYdau+nP+8bJZ6L1rXizqnW/w2UQPYjbVvVFZYp44WEAe/om/E5MiYFNh4uW81AzMw4S+82guM
5bh7aJzqAzvz8MfHFFEzaBL2GrxI1nZL/nZMnaZdtJi3KHL69HFaDWfBsUl9qURtftEUju/14d48
f8SqFLk0lfhYpzi0e/6Svs3StF3F0UyqKWBHudjtZeOTa1IInLME7kTcHUSu/TU3a38j6NiW+ewz
bIMzRXAW4PE3rLl1Lo1hTDtxRNOf+qWRvLen6rOW56XfDM1PyxzfX5/txQGBfQmVLVBydXf3CwUr
uqkZecjGJj4WedV/sBekK95CndVsLdsf3P6PCy6Q+gEHeeVZZCL03T1YKWjjcBMSR3WwiWCmwguq
eLm1p988J9soxDC8JQYEtH0hEes2dAMJU2sTrbnD4o+yrVKkh7RbhsMU5/mN13pbqt23o7gDSAEA
yrO9F71W2CFqRdpueZzzDovK5khRyX2K7WrxAX6dYNQba4MtbqE2b8KEbaK/Dby7WtoxkfPgkPBk
pVD9ck3GKB67W8zfC8vJy0zYDXcf8teeYzfbZjfqYoGwUFfDUVlzJ+rXWRxsdZmfcuum8u9tWIJY
mUhwqzhvvIQ9DUxJEkXPMEI7xo2un+yhMF6bZDbum4Sd2rmiueuXoTguoxU/aIlTh7EwUj/zMuXj
9TNyYX0t4E/iXhQb4Nq7MKyZs1ZJqyQlIF5+VJaRvBOWpt5dH0S/sH3ORtkdCkyLLKm4KIbjFDNO
1DBZoCvdv1RpUOfwfPjgMHdeO0dZAiBBiS9c8NcMHBBN34uzIO1deQBLMzGTUw+xvUmolvSwCBAH
wYs+q+rL1GXv+xLQBMKjL1pH4qlnPlBUsQ9d33c3DsSlHQP1YMMSYXpwBs8v7nZoxtjR8/TYdYrp
T6Qwh9xWP0FLG0PdtG6J8t6mx2wY/FVsVGuUN7Q9Hj47pZKtvZMc07H9xxGFHmaLabzPkZyHZWy9
WsaSH+CMpY9cwD2Vo7iIFhud1WhYf8zx3X6LC3UdJgRXnLUDeSvD7WuU/snRa4zsoBhTgktQtwax
PlH+KGwzcov1VoHgwhbaEAA8BzbyGuqa8wUnY0xKDB7To+j6lyrJ9I9eMpQfNDgCH7XUbINqoDjs
F40T39q9F94RhqbkwjkFIdrb9FL8WbVFiPQ4OfVDoq2pn8dxC4unAMd2KCH2uUCcPn+dnYF7Kn4p
HOfOsNsf1DP+aS2Crqkdqb2PP+00B84tCPeU8TuoxynBejjs5PCEhCLD8Kn97lh1dxhKDDKTRgmu
n8MLh90moeNlYiob/nm+hsNQ29bisYZzpfeR5/RO5GkYNfyHUUge+U6QKpx9mZ4ipxCoC5LjRBoZ
sqN19IWLe+MAXvwocN6AhBBQcCx2c8nzHAAR9yPIMFgEl6kapnmh3ZU2U+vXLZOggnZjK1xcQHQb
m8sE/Jc9sparovRGx0iOnen9aHtNO1iJKG/EhG+rBATSnHKdyJ9SH3WK86nVMjYzF8oBTg9Z82y2
tuZ32qriep0OUZVgxko1JT9A/1M+KU3bB60s1APcTfEBctoUTONsUvE2redx7c0QNFAjhpXO+pA1
VeHPOS6VvlLcNKm7uDrwSzAsoIpN+fX8d2eZEHGvqHySwZt8W8fiyB7Tn/9hd1F33erk2827e0qw
f46l2zKIanf90chK62DLqgn/fBSiZBQXlGwoxe1GMZw+n8C0+NArBhXV4shg2KKC66O8TZz40htV
ZjP7QTK5j1DLIffM2Om5SRM1+9xOq3lXqKBL9orLL7arWgg/DOnEBKsZf9YXfFwcGAJQKXOY8Kdp
Xka/ziVslqpqTzd+3PaE7WI+ivYqo2zaGvDV88+pJwD1CerziLdk+A6bzPAThF+BWq7tvWrhyNqV
vC2IDEx8mQukhoMdZVnT3VqlbaA3PwT5y2bRBJC5r0KvK4b1Q94r0VLW3nMi5sc2UdwT5sJmZGVG
+VzhaIuRb/wTUKr8GZsJAcA6zi+NVWsv11flwh7Hzo/IHsRkM5zc4oLfErbE6ybZubUSNcXShhhs
aX4aI63501E2/iTRNhSqzfRx99h1tYbCYsX5yS702cdAVd6lRX7LUOPtFcoorOd2g3Ke9spCU13s
vNLWOILwp4eyWZaTwJkv0HUxn3T4JYFa6fONk0WJ783nZFigC95UcAX8bM6XsBOLIa25j6NiwExK
aI+NUTY/wIJcXIXNfDo28JI9v/FqaQRD2RWvVuzMoy9LC//lSV15hBtHfYVot7zAE1N4hNVnO/O8
D8lo5t/mGibcwYNkCwq06uXHNDX0H61hL2vQOMNiB+so1G9DoZVz2JruolBF6kvzbpazgsM8gG0R
xHGuD2FhrNnHTC44EZsArIsvyjTGH92AMxh2WubNobDqJA7j0VK8wFV0mcF9KZKncenFoyyH+K95
UtKt4NN8F8mwFH6eIWT0dbiyL+PQmJ+0aS5/Vr1e/Z01SSuwt1StCVjSGtnOniAvUMTfudl77wQG
R3bYVSpDxZS5Z3a5PROBOVMDZcVG8L6Oefojc1tOQJ134rsyeVrpYz8gviR6PXy21wXlO+KPz1q9
NqsvDfbAMUv16jjq/QBDCF7rj9nUhmdbVB7ES8uWpwV+9UtJ4wsL1pGuPGrSFPHBgLxzSgcDjFpX
1OJbqrjTl6oxu5fC1Fa/jdXuxQU9ClKrfMyHUsFQzR3UCsJQQ8GlmuKP9thaD9wuzseC2uhLm2Xx
oaRc1IWy8paHGtjbO/UKNvx+jh2aEkq3a9S/GyfvXd+cPCECciJLYqeZkyrg16Z0fqnE3hSh806+
adU6YmCuacO7bEzz5SitRjGD/yn6DHOdVodHIhycrp3G9F6U3K7ejWplfSpwKSl93Dfj93Pr9a8J
/KvEr9wc9rRWKi4FIjVPPrmFrbxMoiw/Xz/92+k+v++oUSEeBw7DHOaNfCCRnjPHeRZHSYc1aJxi
0DDUmn50OvvTn48Ec2dToOKBQWZ/fhSJLFpdJiXVccxGHpou/dkPeftO9TpxI/S8NCcIYjr9mKBv
EE2fj1RnSZKOc8pIpAZRm5TyYW1iK+gG5ev1Ob1lwkOvxZkMxxvuTtDZ3VC527iuwgaNmqTDpslY
y4+KA9LP3WCceEiWMDU7kH4IxmGajOgk8/LW1fprPrtvyI/gB9BiaoN6dpfc1BhQ6abYi8rEXqNi
tkvfmr05qk2MsZfhAaG09O3YnQIr7r5XmUtxY/DqB6n0/ybet0yZHvo+/ku49oOdGvbPoVmTU5cZ
zY1X/sJ3oZCEtpBMVuVK3i3W3Dp0gqjZa73SjUeZuv/Q+GM4oI+O/evf5cJrY4LrQtNCGQL0tsuY
XdoT5DQSiKPYsutwLC3gvsFxQgrZKk4QhTH7JkyQP993gD+bW9XmpwVf7XzfJbGYMoahNO0k6tex
1xYa1WTTib9r/4elROVE/YiDi+Xz7jA5Wm96acVQXp6q/iDy1Icw1OIn2a83ZnVxjxOVsr9dNDaI
T8+n5Vn5MOHl4UWjnKDJ1HHpHDzF6g7dqnuHAprF3cTje1AsbQxbt6nuWiKJG0/5tnb7PY6FDjke
3rc6pbPzH2EnIlmoVHjRmmlFRNEQgDyd3UisANZ44sqP7Ux2UljVra96cWRgFeyeuFDYu+cjW2qZ
ZkpB2bxH3H2oKhoomGnr3isj1qq5mJJPNI6Q9AWy9Bsf+W38B5HO2XozgeOB5+1GdhPsVGSCBneA
5X5YmkYD3/BuuU1dOpU4+xOa0VJwk7afz29qgWlENXtRpcQi7DI7/o7a6xF2nXMDEL84H7IQGDMU
Vd4YVJsEQW2R615kCrt9B2pYs3PFLbLRtipvdgrce4tHRqPUuP2K36JmC8aER8DBKBVWTqM0usjQ
5uJJbTL5VFF5vXHXbLfWfjx98y2HmUNt7o0KXWbpDMvIi5QqbZ+9BdObpOmbQ12PJbfMqIdjb5S+
0RnpcyWnWzj/pauO25Q8gb2iW3uWgbDWIlVLho8NZ7pz0tl7r2eO4g86tizgXYjBVDF/uX6/XjoT
vw26t5iaGi2G6cagHajkj86OswfDKUWEDq98WTxTommWZqg49sfrA1+cLZVQeJlIg8jKzz9ub8+r
hJfExwU/wzRE1qFrFMVJ7VsZLH1af8CC68f1MS9UlCnB6FB1NyyJTGJ3DgfbymKsnDghWvq9Lshf
SM/Tf0bTVoLBWMYIo5RV+mNl6pGTJdW9xLPXT5SujOLe4o5eto4+pbIAnjhfLEW27zurt9/pKwYF
JVskQqxrn1rTg/8DPhwB3+t3BcU1aJl4q2IHV/FPjeGHrMrk9frsLm7fzVsAfiX0nD0j3czmOq0n
VtSqlJwuUPCtHobOI5CnU8IPUeCjmmtJ+kBfGsPXvFjeslu5cP9Q3eVxMSm4Uoba3T+pXB2yLZ6X
nh50T6oqiicxu8OTdEyaJRlV/aRaY/no9o7nd1jX+23aTu8V8riw0nI1tHOnuKNHjXuasBbzl2GM
D0WJijpfWisYVRiV/epOD7qyqv6E5VaMeecJly18JNfSfhKFlhzwt1A/We44+13T0eYFk7+DmnRp
qOqwUWZ+S2CvuvaAxSCuaZoBtDyLFYT7MBiAKCYOXwCoZtq3R7dcqycT1/+vmpbkd9e/1oUrFOdD
7H6hPVD42gfR6lC0iirZUxbdup4ad/QOqkiNG1faheO9Wb2DUOF4DZ652/BpaYlYd1sCSkuhAV45
Y3baaFmYyI5S0ZIXoV72ZUQLKTe6Pr9LsezGW8H3k9ubxGR3e9dCG6eRZpLkVFl516RGOz4gVNeH
wLVnNcaFs1m+FVam3TUJB0JPc3zZitk5oASblwDeh/lXJeTwoW/oghBg+aQ+umpaV7hMdx0WzEIT
d+nqTH+saNpUFpuSiXuJKHwPVORL7iqFsq1ZpRknJSl6eh3NDfTstg5X3RxC2zKwmyOhiBRvuEUi
vHSKDBi9vHdblW/PRU3gesyLrAnSSii2i06vqJ6mYSdLi29cwZe2IIQtSkVcQJB5jfMrWHSugw0e
E9XEmNByDQ+9RE3UG1vwrWSN9SR43wIgC+rwL5Dqt2d8FiV90FZJhCenSURaJ1zpw7fFgG8mVCsC
MWbjh07K5KXzrPV+igtRnIRSCOAPuJ3kQPXW+KqfPfHh+ib9xXzdPflbwQxuFRUlCkvbK/Xbb6s9
R8lip/CiqaeLkOJ9mzOYhupQHqrEOjV1/jDWxTsvpkaSmK/lpP6dj+tTs5T3iWxehnY6TI0ILLX6
MFIYb3ojyJ35pGj1QcfKWPGQ1SdsmMEYQzQ80texlrmxvhceUop+G20AsSb1uF0CIQp7yJE4uBEJ
EkzXAX5K2Qxm0JnWo+b1fehsxNAb67Ztjf26ga/DVyBXJpDf3SvFoubDutputDhD9zEWmfXsQZuo
KHrPOdNte88ne5d/I1zXv8K4nqTfDd53RVKS8ttRLM8LYvMfMdxGGZrz/JRRnS/91BLZX7qiYXC5
4JT6pcitPqVjGh6qwRLH+tc8zrRbat4LDycrCHSCqyJUp31eMA942KfV4ka9970oyvUB69vyrmpg
lLkjTs1SzW0/bWV+MBKUD9eX8gJGu3kz0XAa0IBrdi8wLWItdhr0JFEGHkwTxfZBi7ujksmPauIC
fWtVpAzFh8rTXlNb+WkildFFd8uK9+IucoCOyI9+Pd/nB0HDDjnJIaNFa+K906Z0q9/TexFqWXLw
4pYOhvG/1yd+6faBbU86tEWB0JnOR5yGAq8n8uKo0SY8iErXCeqUK+j6KL+YM/udyg1HDwbkxSiZ
9ydcqDi5DDxvfbJ8Q7Tr0gZPIkyBIB7qeUmTzxwwvAFQuZvzSp5gHA8B3f2sT248I14Vjnm0taQ9
rusG3IpqOgFlp48Ljo0PmBEaUdFQvp3ttHiHq/ufA5abqfrGCdpIJvQWOl+lbjWUqmsMN2pHPX8A
4tMjVZ86P010efTWTHlKFGW+caVc/DTEyDoSD3LJfZcO6uErziyrG1GZyahgtjZky9a6ESFcOnYU
KlFLAVeS5ennU7NX2Ugjntyo0Nw6QrVkUxadvKhd6+yTZYnuUazCeyir0f0gi7a4MfylaghFkM1g
BmeCTTx8Pn4sx9Yr6E0c5UuG1QrhGLFkLu5qmBFBH6feB6cQE1HAtPqqk1M9twf9xo+4uNIb7Qsm
H6/jHvxUGgH1aqT6QRdZ+pTGjnnqsdwIrx+C66N46u6oWfAVZyrnbqQYsnscugrHAE/p/8tc4Mtp
EMyg7bu79aRqs1Bg6diq2kCrgUFzwsTFxOU/zAUuC35HhLRQ2c6/WmHlRmkOI3tTpAkXsv2hwg3x
xqV8aWtCwkMviM5p80A/H0R3qx7LYG7DOa3058JdxbvVIxBTFjc7GYWDZ8jcYfzQ1vrBg212Y46X
8lSwLn4B/ZnQlu5V/rFj5LWJ2zJHI3Xwmcrkis47H2hu0Lrut972sq+mkc+1T1MldfWFaik5cG7S
mvdknLnn07qnSeiyU8U/h5Gam+8pNW08IRo5YB2VhfOotjCPpK013Pakh9LXzsxiDPLWaZ5X+sQl
gTHwp6/k7YakOF75yvWZvBpe0X27/lEvpSnE2uDGxGAw+3eZI6yMtBnbghimRh4OxZ0mjxmvAhLN
6ZSRUx96Y7CCWXWWD9dHvvTubSJhEEXuIBQW51861/XWBlDnFVqT9L2kHUTY2vlXTcoP7uC+ps56
ixRp8z/uH6TfR9xtYLNwIbiovEN4KYfAKD8KR19PKL+CdVqVG2fyUvBN7w04YNj6omvbC/ZaOYgh
H3hli0mpvpaynmnni6/3oe3wqkiJPB7XDvfZalE+p3bv3W9to8PZcPNgcId/YNf/cYNAxOU865u6
D6YEfOLzFZeeQh9rQJAowfXtVFXmeP9/yDoufNezUXYneB1TmSTbxUo75/yIm7gZ4Qpogyp23fs8
WcSzov6HfAoPNpqDbkUt0m7jfGbs3UnxtmvWqNeJRGBdAnsrblzfsW8NvFhAfHQ2j5tfPJ/dBrLp
S6jVUBUpLunjizV4KfFK2YZzqqWHLtHczzLrl2jpYhl25mLc10Zlfgd/HJ81Ky7u01xRgnWAdnH9
h124NEkENlYo2bNKUfF8+rjFmv1Y41CTrrb0uSS7reckmdKgWkGZl4BnhqJFo2V8cVU5fro++lsT
GQ9Lp21NsEhAka/ulqUkEVkBM+KIlHGUgZcl01MaW2MTCPQbWPTR3zDM3S551drNO2UT9ae+UBTn
Ye1bi06PcIZp/E2CEiqgxgeaMRVplNWi2M4Cp8vP3cK88bMv3HyIacmNN1EoxMjd/ePMuqVk01Zx
8vTpaRmG8r6lE/Bnr0ixFxnxS3EofEVqF9s3tDcXggLgCLBipOpQRvbYaq5qFM4GTBGoHQ3/aNlM
r+pxdW+o7y+M8osCyUl3Nudb63xTeFmRjfbqOpG20KvV99zG6HzLbEr/+ud/e96Rm0K03HR63HL7
crJaONKou9GJ4s4rQlXJ09c0k3STN2fnOJP2+KUX569/POgGtsAuggqzkWLOJ8d2pKu9RusSM9a7
1l9db3lfe/TytnX5WDdr9UM6s30jOLhwpVM2RIS5FSzwFdvDPPQ0EtSfUifCPDu5p+DavS4WtQU3
0Qy8VamXtloTv5MenJN5tr132Ic0UW0DYnYu6LXpNH+eMFAm4+hTy9yorntOUDq4ceJ2hh0VXlyc
jLwdjnS4bQ/Xl/vty8ko6Fzx44PXhczufLmbwkwFvcvsiI53xUkST4Q4iYQ46s0kKfUtE9lbw+22
bmd4Xc+usiNUQHbQqY08eCMMXtUZYnrFj38epXP8SfZA1GgHz546n54oFKmsymJHs9HI49yDwRaN
Mt3YPm8vHEbZAnTuaJo97lEm2dkGLR06O7JjPQ+NuJtfRiMxoOApjEdL5EcHxkGwivmWuHBbr/PA
h0IjXGxefYrCAN7n8yuSxiuLpbEjGNBKsBQddnhm0d6J3BlvQRFvh2J60DlYUIRD+8pmU2CPQwBp
RaKe9DsUefGdOudtduPSuTCjzQCINhmg98R0u1CGmkGZILqyoiJVkodcZPpphEYU1a1T37itLwyF
qhagZmMyosLaPa7mkGI2UaXouoVSY523tgGdR7ywqddbpaCLQ23GdluvMuhZu++Udqno5OSZUWWJ
OlImLHCTSZ+OGjrCG5vxwq1NTzBbpevFRgjY07EB0mSfrqYZ0QUbnW0eY/6YJtY7dRX5F01q6pGS
3Xrjq11AJlhGToGJohoR1F4yr2okTXSnNvCxJQluJ6zt5sYN48Ix78cil/hgjubrlOg/Ms8QH3ID
GiG9YEQ0r553THNLu1/xEgntwuyjxM2LqOmk6veYGT068fT5+q13YY1+FcmIl+keh9HZ+bEhI4lJ
AlewhtJ0uey4G6LAhIl2kmWcnq4PduHOI+8EfmZtNp70tjd+q4eD0Xku9k9mRFd044HQwzoqizLi
c0gDlEUppz9m/RNmQe8h28WaE4bl+XhT0UwcYRi58QptU2qonEu3FDdmdWFH/1Ir0dB5s6XYHx4n
G7O2KQSj2Iv5anvFckiKtcfun+v8+gJuP3h3yZHIIlAHPIICvqep0pG8qIzMoSq4SO059roEUwJx
K9S+QPanvxy3OCbcgNlA2ufr1pbObGHZqkc0K1buFc+NX7s8aUCl8DHJfWEq9cFtm/mO7mPzv2Ut
l6iazflO4g/xDERjPXg2cKgl2nrFdKco8KfQcnqviNQfnHTtAkiR9nurSJfoTxcIcJhy5lbz5fA5
u4usN9q6txtXj3KLInvRxD9cVyb/ZZDNygUzUGOLCM+XR2vXcsBEWY/o5z1Ckau7b3bSVh+vT+Xt
YaFNMmke3lIUicDdz0cxyyTPMCOgtIzDng8OkwZr35MmQKPAJVrc6vx3IcU5H1A/H1CZEHlns+1g
dqH090sha2qXafnvVOfiPn1M0fppwxiQnjlYvQxkYmJOI2yhpr9KOl2hBne8166r24MjqHGSQ1bH
rsFg7/q6vD1u/Exgta18DKCyB/wMsbaQ9hwnWkTeBu1AINhM6uDDBTBufOgLkkjGwjuAIi73FU/J
+ZJ4SurB4aL9tkiwQkR6JkOtrrVAabM5iquGSjn23XdqU3chTk1LOOamEthVW924Y94efH4IzQ22
Si4J3V7aZ3pkaCg+nIiOZONpivGWNxbvVvHoQtGaYVASAAcgmHnDUUqqtehi4GtQhwS5P2KlUxKn
g9+6LdmV1eD+smDZWNCF7KGBDY1DpKbd+L6Xprp11dzwRnh0e15WnaWkPWD+UZo4Jj1X0zow1MH8
45uUQH8jGUNfILXYQ4xq42r11pApEv3khPEyLaescqrD9b26hWjn9zWjIOLFQmgz/NjvH3WQMyoa
fZO0OZAAXW0+aavz75Q6JN26huJpyst7nRjgRuhz6ZBsNudbiXfz7tl+2G8vLZayfVy0Jou4Ns5D
31nxoYsLWoVr1a2hLt1T3E6E3lBMMSfZJRb0VDCUZuF7TcNchWMGoqVpIqOrcs+jbpl/nsj8StGA
iGDQbgKc86lpOF13yjw5ka0v9Z0+iMIvxtS9ETpcnBX3+3bqtwt4N6tRWzbi/kxloXLcANSkIQ0X
1UmU0ydjbov31zfKL4nYm52yAXGUaggf9wdcUPdL4Qdy8iA1HeqqnYPYG3Q4yEsc6YmR3K3GCIRE
JQLyqpjvdXpDIvpoilM548dLoNiHmtqbd2pm4BpRjkXYK+IflIj6E0ieBuXXqk9arzX3fT7+tRbI
KzwNbsIYl8NzVTnGAdFD4uMFkoQaVuxhr8FDSbK4gum/psfrE760vlTRCM42qY+6x6WNdjCaZaWi
oshCj4oijyPKDoyHJgD40dBucUq3D7ZfYK61rbcmOABW/+fbJgcAVOPUtaOlryt89gcvcFjHMKWn
RpAkRuN3yGNOeO7ap4n4K0J5QmOASabPwpzcUzuMhq8k6xJZKw11isGcgkVFSTJ2pebjpT8+DTT9
eUx4H8FN3O7ei9355NrjFA7rRvackuXOWT0ZQAFTa9/DTfjUyJj+yHT2MDpca+3a9RnFteuZtluZ
ddQXI3uoZ7wF/qfRZJ8IKZ0oLxFQNsra3RcZ794KyPjl+se5dG39vla7zd9obcoeAyDqPL31ZV8a
n63e0p7bODOC1tDtI/ZyVuBBmgquj3zh8ofPhZGcR8pLEWHbNr/dW3NSe2bnCK7l0Wofhxlvda3o
utP1US7cjrDjeNLxM93uyF1oBUt2zm3UzdFY9LR9LKzmJIz6cbbm7sY18ja9oh3XbyPtdl1ZGlid
FwnXSJJYgaFXEy0xIGkrK5QjR6FlrlQV+V8WEe0EMfAWpO47myjoOfr/5ew8uuNG0jX9V/rUenAv
vJlzuxdIQ0+JpEyXNjiUSgUPRAAB++vnCZI9rUxymFO9UrGSTJhwn3mN7AtOHa+Zz5pIGPQMilN4
5rdeItV42mO6AeQdFwozmaXCFRQKy25AocY0GvTSJvtSGd4pzNybl2K30AAasLzHRseZ0eWpZ1UB
wWYptzKyH2D7Fud9C0rh/ZnxRvuDlOeXS+kJ+ssEbOtqALPr+3vD94KbKMjEvk/a8tqFg7Wfo0R8
M9rqzyKcVeyPMrvMQ2K9oemCWFZmdzU0/o8KwP+JmOj/cVv0P9CJe4O6o8YmylVdsy6cxjTPAgvT
zO0Stra9y1vTj0O4X8hS5NPyQdSr28WJJ/urcHJFv5U4YJz7Swv0DJ0j+c9SmfOp4ukbKSPVd93k
BB6Ml9SxaBACVwz+yBC5mY/0RLYX7Xy1RsE3K1o/ZAaoKtMigXFhvmXFR2eYz0c7u5k04nko84+L
MC58q/nSemqzOOZtHxibaUWA9v3hfb29EO1RuOPggQ2DONjh6Pa0H5XdeuseQf3kApW3YWOiA3hi
Er0+2/RVyNC1zzBJom5l/TKHwsT0BsTI1r3XZ5JsoLpJyuTWGnt/E5hQPf/qM3EaUbIGhASv5VUF
RwxJ7kFUsveD7cg9ZMIKEmtvfH7/Kk9h99H5qdMPGO5ERFQejh6KIlGw9hXl8dAwEpABw7RcRV46
7lSuUP7Cj2pf2704T3E+icXaTufY28ktcXG1W2Zn2hlYBuzKeinOjapyb6OhWK/9yQf7zvG6K/zV
+vq/oGNYoOA97NoFptdmE0w7cC1uDGPqFLLxDWgcU5ZqP/pgGkF8LMO3rHJJg9L191pj78ci+jZG
X2fcFqaLtnsyq43hjPaZYdfrxyxqAF1GOcWPuvbOaeyf5N2/npvcDkUqzWyH6XXsw4H/7rwUReTv
M41t6bsaFSM7dc+8xK3joloR/A2NfFNrfUKz8n92YzNCPK/KmMh+jKfOHPYdNNYT00uP66txp5gC
lJy8kwPzcDJHBqieimBh32fJNSFR8+CXqXxQI2LGwjR/+nkgzmsov3tnRaHy/Vn31jshS6O9h04X
TJ2jg9qexrLwi8TfkyouWyufV8yK8lP+0K/XK3w1lECpFxGNosp4+IiDlUw9xW8abS3uvF4yTNfN
Un124WnsChX9dSQTl8MlDjxmQH52DFHQVI0h7wJ/P2RJsEtmJ99KGyXt91/dG408LoNnhUstmszz
WPSr7jPHMiYaTE1ZDjEyStWGkvvX1ZbRduG/v00Lkhtd5106aYvudHgTGt42G+Yv79/I67eLxTwy
k0ghwVBD2PXw7XZ2b/lpNdn7eal+J1m1N54BATqNqhBIWqNOzNfXsQKXgzPGeFL2R2Ht8HLSG116
qY29d1fDGGIKSEM8VnV2Zfut+5cbQYfXOp6enKmoPpYUAhNzvvb98Y/ARk7zP3h/GA6hVs3qw7zt
8IGqNim9zgeZuSxwVMMhMnfOItpd0Cly0mA5VRl56wV6kK/1SwS47+qQ9pfTC0veRQOGrf0cCBW3
6NV9IIxsdr1nzbv3H+2tS1HAMymQUNOm+3B4qcasUZRA2wt4QmPuhhwImalCrNeCpDxxqbdmoa8f
i00EquRx+xNdXwjkuEKQarruB6cV4hKZX7FLgQFeJaKRJ6ahntWH2yZnMUURGCqanHmM8WO7Xsos
b3m01aQkOFHW2+VYv5LxqXqXmLLeGrASt3MVnVoBrzdNLm3TI4CJS/xx7EMJ4Dy3+7Sy9hjdd2ct
DiZxg8HNiRf69lVYz8gcob53XPZZlbFIK8wt3Hwtd6MGKkxoH9QnXuNbM4QeKKkgskOQ245miBg6
gXwpw6ZdAWB5LSvWnQITGVd2Jx7orRkCKIeTl8QJxMrRYkZK24JZJq29WfRVXKSzv+2ywd6mZP6x
gkR8IjV8I/4AHmxhq4aMl4fklH72XxaaRumtk4HMdWWp/KMRIhjkmqkXl3gy7GomUBY76Ilv/Six
z01prheuLeWma4J+k0yiOfGqXz8/t0Pug4yMFnU7bp0kPWkqTW1zTyXJ3y1tOIDiKzF1gza6g271
+FfX/uHljo6FxmytkS0I38M+hAJlynw/cV7uYRl/ev9Kr2cq8T4LXyvGEJcdb2g9Sgp13XAlrfdx
Fslk2lVWI09Yz7yeqbQSOXmot5JBwkw7HM2wb5DYbaMVsbm+uSAkT/cN8M8LSm+nWsxPCPnDzQUk
GvYF6McCC6IFdXitqJF1SrZp7oehT5zNZM7Jt7WxPWcrJ5R/4tHok3I7VclKVIar+lUB0FTs067N
hkt+ZUp3bW9nxpmRlGJEmNDo7pY5dH4f3cKRm7UN1m2GZ9+tzKahwUBlBQusfNWhUtvkYX9vG8MP
rxjFZ7zCCitOxLB+Ldakm2LVDVAis9Gw6VAUU1V9yMKJPKC2Cmmh/2vwWsoO6OsctJ/NarLguzmT
+83rB/bgWfdbtn91+H3yeaAo1A00c/1oC8HViZ6pP5r7ua/VWTfnJjlqlv3+/lXekM1iz9X1TDoW
FEWO1Q8yglOoaGjIJ7NB3zefstumWTsE9FBFKK49sRgFPIfGK7ZYmUkopuGoPkbF4FBzTZzlOje8
6aocEvVBrWUCMxCc1anEVO9hhxOHeUPJSzdWsHs6Bl+skJ6qTliKivKMtrwvsg39jxDN4Slc5+3c
usYae4YdmmdyrLDrTJIISG9f+d5EHWRy1TYCF3pFSSR59Pour7U5lqouhJ849XkQKWKEQkkHbEPe
77w+QCbUkSJ/pFE8Rmdp7nGBDBHZNe4dnCOhZIUQM1uwV01MMtNYMRAEITdu3ybnjqIKCPPZtm+h
+azXedAH96Y740BmStX02yTAMSxGrSxrNqhNDjvLRqxkYyVeNMdFa46wu0a7v14KUW0K+Kowheuy
eey9BnPX3jSs33MClJu8xXHlfKkXqjcozNu7EO33FsgISPVNUqBHHPdZ587bKvSG8dqJ6p6My8nQ
S8loR1IJpiz//oR6HUCAxCEAA7UAosk9hjZOZpnbc1Mue2f2myvNad06U1bfdsoA0FJHGWTwvvng
l/Mp4dnX+yVXBp9BBZHE4RXTArdU2sARrfnOM8dzG1jq1gmb8cRcfOMqZI0O7iqcfAGqFYd7GEGm
a0wFRRI1FBNSsivWB+7s/2WAKKYVeu1r9iWB39GubHkyQJhPrfu0VfmVD0Zsk/t1+B88y69XOQod
SglV3Om6FXKRHLa1XNp95MDnen9GvD5heBZAH8QKvDAUJA7f2BSWk4HyFW+sbGTcdrkTu2WzblJ2
uBPJ45Pl4NFGAZAOrCB7pkPedpR0yKpzRrnY4DrcgeJCNtfV146sqrusDHtlRzAqed3PZtpcGWUH
azpzJnxmUnNpjbhwjNDfqdVVj0Jk43UUully5iaL/BxR9842nTDgvglIgWh5yciIo24dMO1rG/tW
JXBmt6O0ilNV5DdWFLNNVxK08QJ4t8P3V5YYRC1UR/dLWIaXy6RS2ji9JtaadrNpwt7YGfVCRT7L
gr98BmlUHRcGY0UQc0zEqpqpwBGnYOhS19xWBfR4Ssjmf3IVjRjUYLeQVPHwAVNwvUG+hMueRIg6
q1dPW8NJTqUXr+NETQwgX/sXMuXwKp3Z1ZAYXSgAi5N9Wb1RnYFTrM5aBIA2dYTw3PvT/g2OJRU+
GjW6igFe8DgwnVa/6gZ6sfsa5PNVpeyx3Vj5+jV1EoS3WdzxLIiGo8XyvsCWij7iIi/OArCSsROO
zX3XrP2F2aYjVmB4Nxijifxb3oJpmmx57naSCFwUf7jKzD5DH2pObEGv35fefdhNqYAAWzjuJPu9
CAZTuvO+c61pP3VNeZ0tuf+QeLONse/gnwis3wCt6M4WnEOEKVF+cI/2CYKbMUHZZUbzKQLBXeTp
ZZ71yeVsm5/92Sn2iJRAIEHz8Jyco95YrTvc5ML5/P64vXUfNGx00K079VQ1DyeKXJLCN2c1AVht
xD+BbVWQg+j+fWxF2v1pGBRlAAlMdbNz5LTcNVbQBfjBBY+NO9WnpCpeb57kdlrrjTBQcyGPQua5
yj2mxpOaNz1FpwuGaw+huW29VPZfPg2AC1HS4NTWiHLv6MwJigzTqIpLjeOUfhsXY9j2wHdO5Btv
vV6q19SDiA00t/zo9eKDFfmjX017CtyfENVJNtVIt3ZZEYyZq+tVeZdzMLkbwx4vPFV8p9xwCgj3
RgpLqkhSRVpFbA0o+nCI7cULxmrJmNYlGkoeMwmPRTv9ULmOjKnttTQBImc/N0O9UdPSXyYFXg5t
nqpNnY/uiZ1CT+zDQ4u7oWJFd4fuC2n14d2UgtLHaHjjvs595170Yt1OQ5ueYBO+MZPQeEdNTfc8
qdYfHSOWDKFH9FzFkLZEiD/tH9TqD0VsGk5/4oledV00ZVEX27QkKanrcS1nmqCEE09L6Gy1xGs0
qvOvlXCWP307z4iY025tYx8J5YGQVQyo5eM/Y9f14O7gPhfkcrItXYB76VrHQ+pMX7pmtIxL3ASL
DqWEqiGChcly14Zmex+g8PNHNbbYOzUY4hajyZTB+cs/lSwdH8X6sajBsT3pdgfg3MORMkVjuOiG
YWID2GxH1hn+PiPN/GNoHGz4VBbeVYlXfQuNMr1w2ym4cYUhYmScaR7lyFwLd+yuujqwl7gozYiH
soJz4LcgpDM45e9vZMfTSt8sZVAqNMCNNGDg8GY7IQw/mQe5n9wm2GTrGhC1TOuJ6O74mOAqzCVE
TChaIx913LRPgk4LBBRyD2gMluhAjlNloo2TfPnWACR5/5legT315ajvQiwDg69RcIcPRTAWqkyj
mpAv/uGlvtqvktDEsgxx6XRzdR6uXg+mUjp37py556aJqWlUF8Z578nvRTdxmtppv4taeB79XAdX
9WxeRIOxnNrn3nj9Nl1ljelFx5v+/+GdVgDsspFodN9mfnYbLDK/dqosurOV311YRktzSDlJhxFF
195Dx1zui6DVRf8FiErhFsLerH3r3K2Re0oV/a1bYwOmXkZ2QRnmaMNpFuzQPVHL/YxLOyw+J9uX
bXrK1uGNxUL4w1XgFVBfOi5gBNLEESYR+FAvXXWLOnt/g83UuBnyxrsRSePfIENb7jJ0dU/koK/w
oMwSnARwUQJvDhj8mHmV1Dbie1id7Cuv/lL7bRSnjokOS1eaw8OMQ9ht0sN/dfvkd1H6iDOX83Ri
/I+3W3QkqdmbIYV0KEVUWA6HHw9nz54CZ9yPKy7keef3l7KjdIWSxil18TcvpRtVWrFIA68PL4UE
qpGrEJm1tQx/9uXiXCxt/tWvxSkexKv3qh/KJxkguSIjQBr28EpIhbe1COpxLxN8SM0MV56gLJ0H
f+nSnSxRaplRzdsmU9V9Ks1m3bnOX+YScA8kxToyiwjlneOjxU9529YYDfs1BHTh5LXisFCnNs83
3qlOvUOX6quJT/LROy28NYI3mQwwXZsSHGWfbMiQhqua5H/7/p721qXgZHm8V+rpdFgPX2rWg8YL
Wn8AelKxk7lpddm2i7ycp1NaeMcrUr86IKGsC4rlmCEczcnVc+YpS+m3Z4HZbFKDNssQeuV5h2t2
7KxOf495r9oDEjplkvnKN0xfGj0pKs0cFbTNjh4Svzanm0Q37NN8GfAMc6zYEwOc+ijtYitbGwq1
WSMf+kwn3+Z65g8AzwarE1dLFonzxCa5Zbl5e8epS+wN3fWTTJriRNLz1liQ5lJ4RSCf5p7+/Nfe
Bi2MJANPujcnEAk+CvVnXSrGHVhh78SwH2/CICY0xppYgi2CNv5R1ksovwx4y8t9pIS5WVwComFK
Th2YT8ofvwaXXMajLkbdVMPd4OUePhEFT/ARaaur6HOZ7douEt8SgOUrvO3CuqS/LptNWXpR+nuz
2J0VU8sucjQ1nSlBBtd3tpkslxqVPKfcmVVmn01TaqnYkwNMEjFCYY/rthohqlFjn4GH4roSG3XQ
GHBv+/yr8hKyogKh/49tQaGZ8rrywFoVXd5vKr8J/+A7zJ+eO6jPwnXSdFuM/djQVoUDFzOb2Gh6
w/wyeEoRVhReBtjUnY1iZ9edV++jxEO8I2ys4c4bLax1bXMerdiw8vZKGmu375va20hG4boeegwD
6RWkxSaHVifimuXwQbkjph7vL+rjsIjXjmCqPvs1s/P19h8V7uQWnthX7ThvTacUZ1MU48MkrDw4
cS29Fx0NMeEX5XuSdYBU/tEQoxGyAM2uxR6Ia7etIzvZIuNbAq2hRS0CI9mi+XnqdH/S/zq8KhQ1
H+9VXSEi7jsKIgYBxRNod84T9gbw0Nytym3td9p4fFyjD56sooGm4FSA9U34GIXDzvzhBRle0usC
LyX3l+QbIjzrtFv8fLmVQ9l6Z26r+mzv2ijcJl3ilzSmqlXsZjTzlws/6vL7BaLuGBsZLO5dLlVi
xw3eDrskytBKc8jP541RODM+QiR/9pY2LRz7oFYprGgixmEfTGleIhRhmajPM//LGHOwed1NYe4s
F105Lz9Mtx7pLfnthattLRcTKywu4w6fDBY1TvLrGLWcCx4sk/dnzlP/9ODFRgRmrBIE+DhiiSAP
V2wjlVkboi+pdzCchVHQN62HYf2Yr6KsIZW0ZWybndOwhspMnSslHEXFTBnf1gpZqgtzHdufzrDm
4NsolcZDXaPTtGRFEMSJHIf7AejwB9Ma5S7q117tXCvxrTMUr3hP9eiUE2xubd8wNUtbf3z/8V7l
3mxDTBZtBeMAAGQADh8vywZHlUOX7xV+2JCTRndYt65jyI/JEhkBXpF5JDalkXFOVLDmuu04i6ja
iBny2K4NXYtKddI+h4z//WP+3+lPdpZqSdum/8f/8POPViwAbzN19OM/bvIfXdu3f6r/0X/2f3/t
8I/+8WH82amh+/m3m0fR/20/NH88qrxtjv/m4Cu40sudbB/V48EPuwag4XI3/OyW+5/kpOrpctyz
/s3/3w//9vPpWz4t4ufff/vRDggx8W0pt/Xby0cXf/z9N92P/e9fv/7ls9vHmj/bPDaPf1Cze/6q
f/3+z8de/f03w7P/CypQqJNfvFoI5gktpp9PHzFFf/tbg3Zt9vffQue/CApDpG61XDPEIQYXTqz+
yLX+C3iCBrIw6nzg/favOzkYnH8P1t8ornzEjUb1/LEOF/69RmBAsc3pKj9exAQzOCwfTqJQrKbR
sowfmLTrunzvs6zJ3O3YN6NUn2u6XT7WInKeSgO1zMESzccizSKpKGKnop/2cHi9pYkpyhYFy2ut
+8m9cDFiC8wz5a9O8VipssV6cs0nJdoP0eh2qX3umMKK+oupy72ivnHSpAybTbgGRmXfgZwN8wcT
gw8ug0z3ItaHpBncnn1s4GS9LSaSFdiIXgCJ+zYFmlHiufF8W/3SR7LYu4XV4UlVGUaktZYW2Jrl
ZpaDxNzWavrCxNO0ARCkrYAt6qHBrljD1UKDK28w4T1Br3+S6vjlNRP+4p5h4RHnEaUQ9h+t1Zp1
JBo3TL8ChWs4v8Tajz7OMhRNA6KGRqZpoxvFifxuzN46u5s8s9EWRk4XrOCXMfen1gZWDdpcbVVt
JU29HZSdAEpNGZxiuRgNlaLS0TkrfOc4VEOoiSZh4vCy/brsGQH6fTKoYlHVkyOgvAStOcdVOkiZ
7opsqrgvbF6ore2IaO0sOuvTwsG0N5J1Yo+X9ZxgdLWjV2QGd85Up0gqlos1Bn90bWm1n9n89N01
hqm/0O9ak0vPmFnUFVZMquLXPa9OlX1u9GUSPBhOGfT9NqB5ZlpXq7M2Q3BWJrAXvD3kW/Lqm7QR
hfijA2I1TPtVTe0cbAt3SIJgI5Nw5PulzI1xvA7nCvPFixJ7Cn5yi7bgatJzGx5bCsvkFjopZ9c4
q+bcMgBlD8hfBpt8GNAEpAJmU9T4ZdG/LLVfl5Y+tg+HHGTPUyyBZonrHG/PXUlwVqG982WlnJLi
vee5yTpdmsU0+t5WZq2vsp2druUy4TmhjW8eDAy+EK2yUAj0yxMFn8OUBRkXMPmId1O/IjcCMn00
A3MvU3Y0z8nnHsUEpsZcmOmcbS1/gne/E/6sX9VIg1lkd4ZdCX+8nvOhSU95rhwlMPpG2P3ohehS
hsap6Rv9JTNYwykvBrSzPwctUUp9O3bsNcVZh+6M795FDEjix+nAfKzW2C6pX3Z4EI4WU4veljst
kPnhXi37cVqiKdvWg/CU9QEW/uIYH+q5GsPvraPQG72Z28Qpb1BdtPy79wf3MCrlITAlAdTHckYV
CGTmURbmofooFZCOzxQhisyDCoKSZr1zh6mNFuxdeumMlxHami3AmfcvTXnueGZx7EOaA2NCUGNS
/z98g3VnodexOulnv/aHJfk0EPdTSlW9LxnDxKn0xQNkj5ngbtvVhb0xMVKJ5E1DTa9xboWN73EV
Z3mqV+pIsI8W64DBl54X4Pc7RQ/UCoroQztQAfLIIRu9nUxj1vKdfidhBsdIZwTswu1IBPd7UpfF
LO7hBBesYjfrKsyKIm8wcOJwOAFYZL0AyC33C/wLvXD7vuI2l3kJ+ObIEQP7zjJ2A3dUYzbLHxh5
rvekxJh9Bt9EnJjf7Ma5RPorD8KMbpGQg17blOYWPgufv2WUvv5qHMpynmt2e72xzCKr+Z9h06T6
8eZGP3OBdpf8Pre95OJuS8U0+5HkT9SG3pnB2MWt35jyO5towxtu+pWdereafWYLBD3Qhd1aIjcz
DsCO2qiDijTcNpFfLOkE3vWuEDlttrNGBOmY3KGw2PjGI6Q5/dqrIKVD9gkzkmoWv4+WqvifzgJm
zPtqlqEqrOuqsNuyPC8Su8UvHKIfq4ENdh0VvzqJSt817uWC50KPbDQe3FHpXQ09bH2f0sgn4wGS
uj5HWy9IMxxuSU1ra79Uk9lbcT74lRfBsU6G3txxnDvyO8w+g2F6+apUB13+B+95R51V2s73dW32
006mZT+mZ15ezcr+NLRSD24OXK2ovqpxCjGkKgOQT8llST1C37CiYTVc2ebSs8c0iZ3ySt9fG4fL
EqIdklVsdET7uvzDbne4MoYJjk1aT9WNLlQzN+HU+gQDpmXkEq1tYw7ZMJo6KBj796983I3j0hyM
iKrDkaBDTT348NJoTqdzMSbGdQbwnq+vgqS2/B0tGAC/sZIJrzYtc6u3N+iv6zk/AEzRP7W1DmZQ
+0mTT5YoivoU6enwJNJvBeQ91BKHiiN4ouOTyMd+B5BzYl73ga6lg+8qM/YshsNQFyKgafh9atJy
vsudXq+YGiA7N+ZliBqd3P71EPz7WNQ3g/ERADnk8LSJxDHvvvP1AeUiYFYilbA6m5d3EmXVaN4v
qZJaz9xSgflYlb4+miyH5s6jxAS7TDeRpKzabdqUinVx7o0VLnq7EyN5VAWgzg4oiaYqzAAKWOFx
cc9MzGrEMN29nuowXLOvjgfQvryQCdIOD6GkkGLA3EyD+p82b4iJPY9IpYyXKp0RaLydsaOYJgTe
6zEYdNRBtBpPVeuxCCsKS+G3RdZOf7EyWgRX2G0kJ7VyDw97QjSa/5rRQmuNl4lY4uFkpDs9Wl4V
BTf/2uesLmVghdElescOYRN9CXPPLm+IO4irrRUDh1PNkScZrF+Hmiq6zk+x5aKFqcuAh3ehPHOE
ftIuN0XXVmgQjrJvw+4mGqMq+ZLO8G+zGBQ5OzO9mafN/SVezUGEsquXckrcWxV4iyjPxCrN9k8B
0Kp8hE6YUnyK/d4aTYPGJ7xdwtvFaNgQ2zRkJ5xoTvHeW8qgbIsBu1y3yYrZZZxkPU+MGie7Tkte
Tp42nUcViLihBiC/Uxoi+d50nEn673KhzyGmRMs/w8ThO8VGOHp4Q4RhS1i6RR/Dzuh+QKqwAWSV
YbhMoGINvZz8ir7CQ0pNN8827NVBN+46WFV92MScmvq0HXGF4IwyR2kIoLlphlDjWem0aO5D7O/1
aqxsMKvmLvDquRRbHIjxD7/sZJZP7m6Nlsz8cmIZvJpDVCnYN0jfKDa/pkpC1sjcSSz5jVNmBYeK
eH78yq+CKbvUtm0JUqTVVEXN1gNVy5N6XqAYgRJLNV6bfI4yShCu/GSuZcbbAxOmT2okHLzy5uWx
a9TgwAKDhjGnrUQNLzmFiDnMclkPKAeSMRBw0mNlcR+tB4cswkoGE9XE0RZe84N0K3OavVv7rvz+
cqy+rNS1QTATAj/ObPL787adjXQVzBPbzBMJ9N+rgxCShjJhItkSWSFx3FEUl/lYUa5rqL60g5uj
v5ysa0QF+SU8N2Q3c01/LFdWwtQUFv+gCqFn7suvOHneSwiWRa2MO2qLOq90YEQzqdUUdNPDiMxA
3W9B/OrJFWX20zB2lCLPvLpIe4nrMq6n7kNhzV6OiDMMGdF6D6r1bLXem3OBmuk0F97sX2PJt5gA
2T1bSLo3znOu9zyMLZY/XOD5B2RC9AC3z4GZNS46RS/CQqcXnjsarAsvpzY2XnYLFGXjo7Do1gg/
bvqxVdnXl8TMmu2FJzZSUSDUgHWGOckNMiMNm8XLSHUBurtqw06Qmua+KeBqBNfpEHb9D/Sq0VdD
7MKzSQcdax2EgeoqpHj/0ivdNIl2dW2tkONrzwIcvi+ZHrxujDhXQM8nVtLh7KO6AiYcTzhCdbjb
JA1HIy1q1yF89sqHwGcNmcDYxoWD1W6Io+zNSxUjcV2QWhtcSCqEBEOryCzvylmciQRibaVJ2ffE
bR2ec9wWpSUNhKRHw3H8qiZBVdP28iXvPnvKnnh4ip36n6qXiJzeKDF64p48IWxJLZTZz9OPiCNF
LGezTRhl/FhMZVK7iax5cPwze2pHGW4aqKicJPXcqAJAZ5cUbnBjhIXvXnRpwYZ7gkRz/BBoiYHu
16ifEHYQiKvDM2b2JmMQtkQQYOnoqmL2Mq9pXsQlZRgiv4Y2h3QubGNSkzjrFgI4+9P77/Fwn6SC
hs4YlR2PiQ158ZXh4Np1FmAQOT1QNy0D7ytkjNlbsO6xaqZ8idb6uMSZ3ynGGp0vPbpBUDvLKS7d
6/sA3OoBEwqxgqdnf/QmSmmznUkpHsRTGG97vc4dWPlkqFgSmjPDMlV2pBcEq55AWGW1LtG8/zoO
Q3AtqQREU1tJeNwNVIij2yjKQXWZ7/QMSE+TG8tfKzIc1Lkottrhn74q6r68KtDNDdITVbZXb4AL
E+qiQcBU4C0cRf8rbMyyLVfxkBm5T6GSzSIg6BqTCH/E7cvm4zRDh2wQkJJx+ZIkhEntiTdAlecg
xuUmODChHNFZZ3oypkfvYKrCFtJRJB6g28xsf87zAsuKhtE7r5RiOz8Ly7Zjub3k23W9NNN4nbVJ
MZlx2XhUTvfW88lbGrS9bvIhJzLJlKcPBFd4T8/0/MUONY+MYipSQQgCTtnsdSGOMqi4zZ9QoG6H
4gNK2ao1dhhNADO5AI/tlv6V3Yw6JybK8uV3DwIaCRnd1NbotpXtIjZzn0ahnsXC7IZiuaSYp/uT
wkioj+yLzLS5lfy5cqiiruYAMvxJh24v238xMvu+992q8/E+mmTRX9MgcvLkrLRMfWhYdp46PsLN
YDajvT32a/u5wbuPMwafZE7nlxOwNbtFx2eeLBWflU1Vc7MuUg5qulpXXdEkzUuMxPpqeF5V3jZJ
CxflJqnATnYbVaQ8IwpDivLbdQcIvMtjheUPbbckTJKREN2FCiW3btiQx8VhNfgLgIjCN8Rn3kvL
SauZqqG7JzYtuYXV8zBP2LfP6fXU1TZ5Qb6qIFs2bPg5n6220iHm1Lo6pBAjZJKOkuPqcmMQSVYq
ln7YZXyZNwOixGfuuaoKNk7Hqy9/YLGsmSgNZy4xKeUF/YIhDNETPqNQlRM/1hnEqodRubrmbRZ0
dWt4psjQpbtmIlygbCLmiH/s5xnV04BjSajZrzhPK8EJb+5Qb2cL3REQ6LPampEup340Z3bXIQvL
u8r2Tt0sKQKQTe2W1fjPGS+IJb0ahjZXw8auiiCRu3xoiUdMhdcWrcGxUdOfMgmeCk2WWnhHRtEi
FhKHRZmY5H/NqKj7GWnDHPedvAj7TfC8NFb6B+xPsKEcocw4yeoxNK7rNe1yv4zTfpHmuM2NIsz+
rCld2WOskS5Rf+dWap2Dyy6KdImhaNw1SM/rsKHBquJozNk7vhgu3T15ifdFCoGtakxdE+jmHqk5
RL7rdL3yW3JTcVsnyxwtD6yYtV3hsSUu/VEtwJDrSovtyjXfGglJbX1hPa8nM1A6DK5TUXuoSYxO
y3MSpgEk2y65U3KhIO10TeulEPcy3paf6fCoeQ6n6Pjpb3k5lY3B0Dt3FCwGr+S52vP+xv1q9wQb
TYMdkBWhCrI+R5uWrKQF8KDNwM3qMhDFbSJ0hyea77xp1imI608683GfywftU+Hg/Xt4dXggEMCx
QdoNVtt/pYwg86Atxs4Y70x7qOa7zGz98mbBb3L9YjQOiiP7hkIBx9r7l316tl9icboJvoZcAqoB
rk67+Cg/KCBKe3mkuvssT1CoPbPqKI/ARaS2mI3dBOEs628Qxeojc2NZGfrLO9ZiuaBzWiZqXT9H
SBQN6fkkVkZ7h3ttEAoknyYC1/MeXiZjnUEEJepjV0tUsTGsSo736QKzP41lYWbFdGYLtyutfZoF
YqBSR1XSqs5yti7hbLHXdDJz//5zP4E8f31uDcz3yWG1PRAmSccHleVLMCh+NdxHzepb3SMJckec
l3f9wHg7raXLBVY4DWwITb7Yus3WuqvVbXPWW/hJzanL/6PhoIuqltkzUILyIL/Q0mYOiq2JBq4C
oRAMuj5ePH+xa2RF0V2qwZrdCWwMjMQo9kuT9XUFa9Gv812mUuKXCz+JFsKXeuwlL1s1hj6NLMco
c/enDAx/9q6sNedOUiHmDEOKnG7AdDmLCfPJHTr9nRvG1qRVGTYis60ZZwCZmNGQ380C7oQ4pxgd
jcYe/6LRsmPZR4MVplgCcuKVoPCWRY+yUMn69Owqt0wAQBTemxNZwnEgSwKoHbgIHhAkQ+XpKHgp
+jmPkmWI7hw3H0fxT4rPVOTWzEkp1emYhd07+z+Mndly28a2hp8IVZiHW5AURU2WPCiJb1BW4o0Z
3ZgbePrzNYHU2ZZP2Sc3LtuRCQKN7rX+aRWTx91Qtvt7YO79qwdpxzREWBkUbdDB78tH0bLXLjil
X+BCQYe87V1fmEbEErBB5/j+FPDsCb9eg//H56Jt1d5+BL7M63z3vT05+0AYq/tCSgKf68peU46z
LfT+2CsHdAr0RiNlv/5c6x2LglkXRpYZ8zpJWTNSej/8Lx6qwnCqunldXyYM+h3fcQCWyw97ucoG
lTGzSNRgvcZpoRuX3jPjyhtGujHImdgqWly3CLqLyFTL7AO7pw76EzQ8nOfxN1jBu/QvymkNbPNY
NMbMxb7fnyJl1mPuOtmLSsKRLjEsM70QXMSw4VdqgCKNjnZRJ90XJF/QC4cmXVTxN/3fSK27tyKJ
nCO0eCRgVUVzdBw8eAwflIG+0b++tz8Czvpy6YMYbsXdRS/1EwzftybmNsRizx4DQNlI/DzTq0i5
zsLvNsQ5n9uoOHo20xGXs4nMhJOltBnY9jv7908LDHcBiZp0ifo/zHc/PmddJgwCWvil8VHC6emb
hNp1BwdvMp/VhysHXN/M+fr665vwLgde3wWyd+iGiO3l1fqp7Y9SldIcuuw0QQvQ3nSTZgqbRoEk
H+zB00zXKhiZFeraMxPly15zpb2jD4yBzF/KgZk0eUpDD8cbl72TR7Vs/YVxMpbSnJ09LemYPzF9
eR3WY6BqDVcBVpZe/p9ff6lrjNsPJ4ZOAMPSxDmp64X3r2vkLhmOv2J62cnDSIrI/zBaKOeyUx6s
vpS3E7zb2hyb0m/L9DZv7H5AAmpWWjWS9nPLtxk6xmgb8UTfUgnWMXDVR5DoIDGYrDP6jnEwh57W
NXZcFdnlTesrswJ2rzOvHC/B4Pqlc3bJN+2GL5NOijVOW7Fgz0SsUmSTQscvO4DbjTTD/V/ZSl4b
NFrQE+5xwjkuK+fs4yfxFrxKvolWsiozxLd3YzsBG69iIIL/bX8c6zJpRGodF/3gGBEsHNoX1xIp
X460laojyeJKoYKw1azmnfasVMYRiBtT1qR7YmPhTHmoHKGvDzGlt8xn+jyGQQ/MigzdxriktSnJ
mA5KRTV8AMrPs99RQj+dNiiHdIo0Q+50QvD7g9/3snR1g3J4mTDc8E6uApLwrcqSiPcU1lLfw8Cq
kuHS56VGoX+9jH7+eP1SQA7oyAyogXe1JrVWXsBIy5cdynTtBrs7U7JDn89n0AWsrMsoPq6iSgse
+m8+/91gXt5NwkBQzWHg0jEIP33/bHCJrVjb6Tn1U91VFUxH0Ripk47FePDmZEV9z+Ws9GYtkAMP
0F5dTS8YUStoKvbezLBnjRuObMj84Q74Nxt9vZfzi4hYS0nvdWYQD0064RQzvOun7iurditNx3fp
OBAttwRTU09xZOKL948DY/RwPtGjsmvkcZU3GWObf/00ftqutbZWW4BIr3DpAN7tkKryS7tHZ/S8
b1G0I64mHjZdlUO72r4RBM8e5vuNw2pZ/KxRL3Pd0dz/+lK0wva/txcMbuh9UVdrAzOxDu8O5cRC
UJkulfpcN4NBFA57mWYny7Fiq2YMwXD59efphfa/n0cUFIQtDjM+jhwe4Lt3C7H1W0zDRZbf6vF2
7Rsltz6oBqYs/e6bvbN86EnsutYgGFNLRyLAwh/PIW3dT0Uypp8zcqQd58Dl0BrG1gJORnEqsmj6
NrtBncRDPyQtyix21UrBKYGGYNLD4scvv/n676FpaAhutq48YSF+Phx7VQ2LEHX2OY1SvWctTulQ
WJQISyi0t1JwRjmhXqRBMskFj5cuxdbricYB6paPXrbM+owHDeGB+atHH9/n0Fv2YduS69Sp19eg
6O1CnlcCWuyPEHtosg59VWsN0lbqtlTpvO+9v1D37mKPnZD2GVU+XCpSopjWnfXTgiat9lGvxDIw
k+ChjZrBXPBhBNI79hC7PMM2IF3Avm3GvKZfnOb2iqh0ka6cLaKeuDwGBeq2Vm0w4a/v7Puqg+0F
IhvOiXk6BNG99wyOg5WbEYzEp72HrbtgmG5Ebk7JDU0wQY/YNthIfld6vVvQmlBitgpOeSBxrArv
qx0bwi5MAqGeF8OMlPzeJPA81Ss0TF3+jlW7ek3+6+1hzWjDoo4CoJrWyPOPS9pVzAUXHN7PmRBo
C+MSjNUxiXSRsoMUzNxJidvaHjQyVnom6ydNpVV4h8Qb9S+ySgT/Y4LYhyfmmJ0yPm3QxmQ5eOtI
XtGqFi9B4ejhLjYRc/KUkdN/9e3R4c8K9jP6SoBP3amOgxsl2T1WpLFw7obZUaZ9HKdI/1McwiuX
EQLEG5+sHgqoO1jFOE6vM2H1qzpNxSoLbMkGIFoS59uFGtmov1igbP3DSWoG1VNWARLYlxpXAP+8
XFfYprgEGVEmA9EcIrOPuxqmgUKB9/a6NIqqL812I2b6L7X8USvoV5c8/mE0nQ/ImRhajle/9/Ev
DZHy3JbMlx4lz0sKsMoXaNy27V10lWXGPcv7WosjsojWrImtdoJDvV2IfudrEYCY+fUtpLh0Mzgt
Hx7vwCgms8pPjqcmrhp3DiaBhxQ+kQe2ahjRvGQUHGvyXLl+bhU3YnLJjzrgh9MYcUZSUxK8JGBD
/tekCvWlEEXswRSVADIcfvszKNcSDC2mmGub5OP+HkeMOAd+xQDQZ/LUOliknKeRqD+pDlFtpyiB
ndKCxj4bXaqvbwUPRJxqRdVcJ5TOg37khtJfGYBwLgggMYFT8dT05Sb0IdqT6tgTKJ62JWRQk/Fg
7MbClHpiFoG71EedUdFlJynclpvoWrJnhSImd2rjtkyWlD/cqRLV4Z5L7nISKQJ1C08Pd3RMRyPo
00dzspGRxUS3gy6fyyWfxuBJmq1S2ecsseu+e7X9ktE5sQQQ5m7IYPTm5QJfycq85LLV670KXf13
k7NE5OflcrAe9nIIGRzF2aMaita7NYpIpafUdns//1C0RA41xzH3JD/66y2LB/7jaQgEwJbFWw1N
zlkFEfDj+8yno91UlXieqDnc7rgiJzWcuKs9ptvEbSMURaoz+OD4h006t2vswk1Nu5Bc69WgosLW
KkDbl2kbvBpoCcP0zzlh6YgYU7gR0Xdu2Gw5EA56bs2lqpNDF6HMFnh8iBIPmEOQocS7KNmb3N0J
6kszKX2rhQa7WjnCOMltIiAXeoQNmf1+3fTVHv8E/1829VhqYyvJldWeMhfZRR1LOOH0nM54y40D
XEZEk0WH4oDGh8lS8WO1MWnguBp6jaDvHHZbNBV8M7k7IIigynkjSW+Fp53lcF+RBFlH//7gYlet
ER6SgRVbH9p2wrR8DMnD4RfPcYewjlcrmJs/9oIxdbB/yRulXb0qFgarHtnjph7J7FK3xhsZsotV
7DDRUkhv7ZLuA14WpMVxSJIbcsKmiNqMq9xFG+hfclHfd3onzqjbFl2m7tVqv6YJfteDUY8avWPv
rEX6wfeHumN1ymgaoCn2SnWX8BVe767tc+GuntXelkuveRq7XTQXRTvldMnRm8DO8jNgxMKP70rE
ZCuT20Y5PMSdw9r1oLakXOLcN2EJ5MHJEqTU8WC2fvFXb4F9Nie799ZKXJqSAiY47NB5xJJbHIT0
BtT9byzHP7YnoFEw9eQ7BEjByK21f9Ko6Rq0TKP1Ka2EJlE3xMIkGV4Bj7kry3hH5AIUYBQUv34R
f6zH+XjCNGyWawAY7+mM4B9fwwmdomAYm3qyG1f3zGNLLHOGn+dalrOd5+olzWuTy4gaFHZczSZp
/P/AGO/Td4DJ6ApICcAQTcOPqvLHqwH0DUowyILH5o5L/VgNLNK5PebsBqZxGOuemL/TJIXgXYnm
gXp9F0zRUmm3xr5aIZuSoHgGCYLQijN+jteVoamaBSuuDGcaXLnD0WBZfhtFiILu464l2knGnAPY
x0LJxr38thW4mtl/KGcAAtkU9fwqDYy/r9DdbPApuIf0Q5MK2NMT5UjYiBtKEZb9qd/Ek5Cp+qRZ
K7izp30Lj4QOS4wXJgQv9cUOMXAXsTTHcXwYEs9oGAznFTxBXhfS8ZjjQnKHk3XZ+srokJV6G7wf
YHWscm0NmDd5qGZN1UvgotFFBxTV+lMjN9EMjJUUmq2SRJrV7qFnSNW0nKYRQBsN9Njpf8THVuhm
zArLLFppe6ACJ+C05J9qOTy0CjYMdONfAKtAlaP71wJ7xMsOy7mdC42NGWTQ0Xrv+nD6eK6RgSOW
94HtEX1B3ADDLA/EIuBZuScWvuMAr6bqqkJXKXF8hz5VSY55UU10cDejLTWMbHo9/b05Z2BJL4zE
mMpPcsa/ctlqf0WgMvck18IcvbTRKK03ZGLUomZC6tU9VA6owPMDuroetlzxGOT91qxI19Rf31OG
ln+Edefn4m6aOe/EsZtq2lZhlGHGrBWTiezreE8uiu5o+gIVXHfwS5+zxDUlUcsI90xqR4j6K9i6
Q+FdOzFP/ra3qtQPLoXf6g5mULZJaRKotsmOMCRVdNtECUn2d8WmvNwvOCAxl8saulA7ZXrsDHym
aZa9vnF2nzDvqm6qqqNvycSSuGhwy9GwmVaPnXf84JkNdppzOJsFM3PsNnPhJuYSzx8BrYFKua5l
u3ljwyzZ4KXMS5WOhwCbQG7c2Hm1aCJHBAuo8MBuxhtYpOMcpS/5NBPKdLEL4WcXBu5GFHZyHUc+
gEWpuKWm4RJbdubE1/YCHIZoBibJu2ySymCmRte9dr7UAO9exYTO1KC6XoKEAPJbS3Co2rf7zUSQ
464dyk1L4pNnSw/Z4LvV0CXg/uO2OfadiB3+0iX1HqJZfEiCDklDVNmaScMSLrkuFdaaJx2UpjAO
avAD+XHJa+X7x61zDRoSOWsqX5cltv9GVGvPz4Km6Kc+uIotdZcu7TxdaRlhat7ixV8HFY+LRZLd
zUQokPlJgtWW1NCe3Wlnms9Ql+lBGKRcOfdeajXZcGDH1Dv3/jKaeRNMQSzblHSVo1hM/b6k2wNT
vqsX2QZ0RBLakRiBsdKweNxva22cVvcyL0Vfh/c2p8+ULkdRptdqZK8SqmnWBJU1YPBgqI3JhnQD
j5CTntlnhZN8gh+zZvOuhcBY/JMhkWkwtHwTa3kzIctDrEaFQeFJiEZvSSAA5WAfiFMYm7fquo2Q
lqYRbM5+qdQzhRg5DlXMGb0m4X2FtXRW5yBLMdvFuVln5Z20DbeVxwon2BQ9DTShrMlh8vTzKkK/
RXswb/gjWdJaNhZ5rEVQnxBPGxKqmcf0Sr4bM7B1UtiVCpwmU3Mau2rOXhePjZWDS7MYFhsKLGYT
tVrmvkBb8ox3mxBDavTeY5S4HbE98R25iP3urYPR85VT2ZrjZZV9+IwCxUsP09zoy7EKVxMH87XO
rBOgd2DAYB4tCsygaW00x1aFDQMLTcKwY6rALscK3ZMhVchPQcojQxRLnbE0p3Ic02C8+5cYAXzm
upPQ0G+kNtLrF3rjvtok0xuT01TWcpMzYCH65pYdkm3XLrHLx4O/tETaFX3P3EWog2zyp4Ist+tr
NhtzYji4q+duBc2MFSEBVvUs+d/AIWJre5enMPdR8OWi1CvYgUzyggvjx/QXxOFi4kvpbFo381/J
abCiHbDxeldZx5/KiYEzLP3C5CS6CZhpgAcxpvzLxkvrjQhow1Jp9UmJ5J2tIOXbsoVscE6XT5Es
733q8LZ5TqJVb1gto8W5IkXDzN/t5fjOCRq+WU71AQlvUYWvC8Nsh0tG/c4T2q+n3s40+8pDq8Rw
pfNxf15jhbYIAd5YuPTFwACG3rB3RXhdrCOzduc6A3Z83EVyVeqQ43nZ28GJHEt+YG46ytyPImpb
g/HPLaLd7+lsUvMkuPjLR4KKqBHVFRnNulTbLOYNeupRuLOm2Z6vN5mtn9+FRSqm+YG4LoKCb6Wi
zzVPU+CDAB68HvfgfPazWr90csqZXxCn2hT7VoEHtG9LtIow0SME9Wuyf8EhhM5k1Zj1VWJaNXpb
6JF7oOi4YqkkmmjXnBMVGl/dj8ukmvUnI5Vyufv7jl2Ps89X3qQY5cYJtDLUb5GdGyaXP/kIa5vn
yW0KDsFpM7JYG5dXVY7+HKka3bQT1qPvd9cI/RQQeen6ZRdG5JgSeAnSNdNy2B0xaEupgR2vmTQH
xjRD/TvhUzjwmhdo4HP8M70+Bnamutx2wPUKTXdXEHHZyPPVHa+rLggWTFTt6MAD3dhGOLA5eOOs
dZl7NV/Yacb6LJUL4GlvopdaKf0pRTvoV7QikotjP/CriTe1dj390z7ikfU1VwmjMy89u6app/OV
CXqd/Xvvi2i/Gfub7blEZ/FwNgY2VEHDytq//r4JM37Klk48UIj5xTGdoYkoYyzE2uSQ2QjoLvZU
cf9u5q34a0Zv5eBeGN5bi3s1SCOoHryuLucRMx7B598B+9ksj1WSDNS0Nni3/9XlD6llNwytnRLH
6U8l/tUkwA5BwJURp1T+/JTH4QESRSiexi+Q6IT8WEI0Z41UBkz/a6/ZwzZeyRPhlykMZj6EVd0B
VriCPMDocc7bQuNXjcM8yWPH5CJ+idwc8R7At5uob86EePerltTyxRxSUvXCYdJJ9QQRyuUODjNI
qyMyoaq1yb6zS/mlGnON0zkdqWVG3K9Kr9wNNqKA6PnNDhSlGwwoO6kP/jHPNTY5uImGjH/dxem+
6L+7CRh7SCboDJomurn30VlZ1XUNAYjO05xzzDAwqQpUMRydklvzhlFUr5zenleRozKcCub8bevu
11fxUy+JoATDA8wOPBeU1zuCIzAzw3eN3n4MnZrlsr86ZcZqoO24SrgKNekKpNle2Hrj4LOtMvr1
xfwIitPYIgeAa8APREITB8W7VrJAktkyiXR6zDylpeZqospih7n2A+ucX1/FZtaWyV9/8E/PwiPH
2iJqC77DIU3xXUdtDyGG4sgdH73twA064LTyfieLR7dFObHXAlM+Ynz5nm51+68vA1n4j4uChWD5
CG2IVWNtmAQ5/9hMm2zV3JbJvhm8bDXCOCjSxsX7EUE4YccYUEC1KKbzyKfFnCOVpCdiJDLxwd78
EL6D5Mq+zYPOMt6sEcEhAuur4Wm3d+ygyiSQQDGaOgDMyY74VWHvDlm2iu6xo81ezEMdZJlbQLOb
Grxt5moMSHhAtckrPRNEgSsU7dRSx7vbguNQo1LuJCf4yAgY0m7iUVtz33Z9q6iYosKkkyZareks
kYb2OZIlkoIehYXZvz4bkd3b3/B0A6ucFq92gtdyTTw4+cA1xr48JeTdTO59ayccBud1RBL1xOm6
1OlxZeeVJMd4ZS6Kc7VETfJoaaKYPsqLjLk7suHKaHlauj50JOqJfOUNQ9W8prRFzMoCZzB7CCxF
jnqSG+WpFIM+hry+D5Xxx8LUGyUOvdNhho8FugTjszubpNbGmLq7pSLaz0Qbcc5Dr2LxzgQorugy
1mGp0lM+9T3uwCv8UW+OpwS6Ivgb2WhWnNMqmdsgzsoGhu3YtcOswnjdvM/55nab6VmJvLaNBWTi
OKk+aBnu7ixZ2hxQ9lDFX5hisYzdZ86BFX7DbCO0by+cpUXeovoVAbnGnjfK8tuYqdl8i1qC/C+j
7CwrJZiPNC78Z6AxgGi7YXq4Mnh5mI08kK5MxqV8mEKpZcAb4Li7yGnwdX1t8Eh5NzdX1LQKrYcY
SqkFrRNo/tgjb5i9sY7Rl3bTP5shKC0aOJws8GewQjI/XYJoZkdM2DGK0Chef/OKoRr78R2D0Mea
7+K2Qc7Je/9+l4F3a9gMpHeZRJY7U0xnkoris0WZjBW5brLklkFLuMWA4EVTRZ1E5mcnwS1he2N7
JHgvL+9x9SXWUSLzfZjngYEzjA5KP1fVSMgJOZLp/GgHNeNqM+X6dyb3YORl5kBIyzuaF1GJ8sBg
n948jh1/l51ruzTEh6IkJOXOkKi3zyPYZn7MRD59S8gaZFCHl89QWbbV6WCmXJxaOZjVoSOebwHr
8e354lOTVzfCSSJ5bJM0GJjeoGgwjtZQKus+ihr5ZAQoCGITyD4gsCibj3OYemvcZKE8Uo+K6C71
gMVJSGmCBzRGTXSa6Q5DvmwZfKqa0XocwYtn4GXH/mr5UX5XKa/3MYsHxVNXRwSkI4N8VbVK43Lo
vvlZ1r4all0+Va6hrHgdXHbyGDdfUk/I1jO84A8t8IwdHuG11jw6FE5X9+YDQLrxTzSlzhmfTn1c
ALdO9Kkpg3n7kOFyyjqZxBfV2DhX8dlHgxn37OIIzqP1YVgTN42jKlgYI+KSrN66rjhMVtV/mPJW
PieO7B5TwPObkiDQj0NoOOckMsVJFFI7cjyvuUdT0ZxNN2O03CorrUQNHsmRSW8lxrzPpvS8vxY7
zL4k/dC9LLhnH1Jk9Jeq75jeSlXpHgUjntDvzuuJCXgugOxaqIvpDOO9zmj7IOzeOq1zV5zKwrWR
30+SyO/AWv6R4Vx+agmyeK5dc7hDbJ89zYFZl7FBCOypqrv1Hlok+oR6vLqz0sR7Dul2ifLFQB/T
/Yf3Js3Ml8obuy8R9owzx6ZxmLwuufW6UXKaEOF74Hw1XKzeoXvrTn7zSQ5zIw4aU7lxlsn4ltq5
eIiEzA94iodPdNo2sEnnnOdA2I+2kxrHeZ3W74wsFm+pnyPlXRLjKCYmX/RrYr1ZOAFuA7GUt07u
LR9W2xge/bSXZyubpks2F3ARybqAD+QhYXGdcJ8JhwjViWiJhk+xkpNBN3wvpUuWbxgy3zhkGPR/
6BxfI1+MbxbH25m6M4pLdGEwNR77YV6an1024JOhyvCDlwbBrbPmApl9zxdIa9/7HCI/Q2kzQ5Yf
RSiab2NdeHmMvEE8sDTzA+0n+Vwe0f80cxGvTFhaDyl61G8qdw2gkg4KBxnZxWM7eREihwcmHekV
SerKWLSp+JY1ZV4dGIkIGuLNzSGRiYUyAUsDXd/kQCbPVfPGhkpun80vRczBUx7IXLCdeLGN9s/F
CEbmScviUo5yZM/I1vIFq83wMnPY4Jbtm/NIaFEcKofBixTPdpzUwirLg5FP2UjWrJJquqnSuv/L
CobmKcMmdDJmzOfHZArMPE5Lpv1A4r7OBb4WNYo/MnwpF0KE/p5659Un5Y24lVLdGGNQHlY6xZsS
DM24WENbRg9AzvUtX6xyDrg25BMVRRYRBzsn07FtbY7kzCgGohYSyfba0NPEtlWY36Da1GEG0Pne
k938l5EONqRSl7tNzFVV//hr490WmeHei3Vpv8I9GXdlMUy8XK56TF1nvhvzvsCR7Xv1ESFc+9fM
2XFvLZ7/BbtF+1Inrekem6wcbvxl9l9tq6+7Y5IY3V0weAEBSSg0vhtZnS3QNXJADmgTC3XKvD5/
bJUzooFNenmUpRc0cRQgHQj/xLsfHuy+WzC5cIfvyFaxj6aYgRpWv/8oMCOcRhvF0M3kRebHlGp+
ipuwTvhCgr2E5uwjmhrjhXRC8V0wr+ymjHLnAaSNMEhuvHk3k251Cp2x/gzH6iEZWMNviSPSLyWW
455ROFjImUvhyk9WVHg3hbIIwsmTrjqnIsy/ukhzbgNjyd7cnhgBl7mhCCjn7DD6q13FKmnIQu7h
zZlXH7V3uZ03RzT5uAzcMjkWucz/CSVjaSsVhi+dJRi70rvpbcX8HwLkCbFDrp3e1+sk71uyBLnw
v1El1H+3q9UgdMTtIkqHvbt1hhPtVs5PeTK6K90hegKEdk9L7nU3TjundezNuTwWnuE9uFL5cSDN
r0hx3XtVKoi8yhnOc2RpCIN395h3svpzde2MuBVP9Hjjh+hWB31/9pEsY7woy/zJSA37wCEsPjad
mm79yFgvJrvZeV6W5Nbls4tjMLnGxyycJg/HdGRUN6oo8+ZcpmFWfN/QkpY8fjqPNQ8RlpWrpSWG
+dpqrGGjAORKoZYfckJdqCLtKM3B3yHfdYDIJkST7aSplU2luAuV+lnnB3zckYmSDQU4ZUOhQ+ae
AIPDs2D0Ow24WKrooKp0XvPXAPab8qogdov/xdsk8BRXuikNrnL8FXnp2MSmHAHCY2Besb6qfEjb
P5h0VKsp3kw70doAUVP2wzJcosZr3L95NzV+pIwBS9uBCVj0A8s4TesjdtG0u+0Sg4xEEjXkImPe
Or95KupxmMY4jZgacBqJZstORt853dEwGu3ESZol/G5iHUzuSAmyakDpkhLPIFJqvmkDVzYv7syo
+D8Hj6k7xLajvs0/YkpLLOsgZVnZ5j2sp/L8MxqmtM1jRkI3mHZnMouW00CKSohCti0Jcs1xUWU3
yVxwcMUo6DS83SuQtmpTohVRBeUyWlQ6R0zr/HV0NU606yoXckJ7Yo2/Y5wtR0JYAJi8f/71rNgy
LB9nz5Pp3WL6vGJhIOSZQc1OXcEIlKv/jYIsyE+MJxqNc9taZfO8ByHVK6yp4HGkzfq6ydciAipC
epCM2xhkk9X/B8+fhqHNZdbtgvJqDZqAoyEgeNpK45z5U6AQuzkYlAZ6j6xXdoGX3XGyI/RR4la+
f0ocDr/uiVoKwG/ewekKUgevzmivdXFYQ6Nf0jOGAMln5lc00lhxHF1ASBA4lila05dNuLc3/ECz
OiOHda6VFRhNNFXYjloHkW1/hvFKd+Y7kM6Id+2tz8xZS642UnzrI3Z4ayMud2FxmzfI9S50QRo3
Mzd1drBhmuTsaUxzu5qScQs9E/OuDoCelo5/fNPODZOlIUQIwKSp9OYTKuuSBZM3GZcKwVmOWDbg
1ogz3ffS2R+SSXSEUzIYsyvu6YuhFuJp9j1T3q0pqWcTybYc/qCS5Cnwkm8xYQ2RAz0O02zDv0MR
SE1bma5+fRI0wDypJbEMbO0dE2hsC+d+CcV33lFA0YaaXWNiHjhLmmMxfR17V8Msvhly03dKaLDr
DLA0tekOhlOY4/j6ThBBytikIAkbL2D1+MX6Oow6naeNUoYhXGjWsczFgpA2tEXrvKKePFuiGxcC
I7Z71bq2UuapC4zJxkWD6J4ntiV7Tba9AmkYosyghBuHmgj+ZQM0ozm9Lp+m07BxI6R/fSJbTtD2
mHaANXXnUAPYiVg1q0KWNA80oWCpvIeidGU1xHWOgUXEwRVq2qlROguNGPsqs1Rxrmf4c2qfpOyI
8GU2iKYRmKJScY/1cB5+eu4NwG24Qr0c2wV04m3ZDE/jGgyBACEme7vWqtHW/YJzSNvMyI9FDHTI
CzoH2ANPhSM+ryuBMi7MOcDFtpE4fjtN9CjKjTJTxhU2DPVKQmvXv+20nIhyGODKrzWN3KPOyLmK
uW8XZm56qwYNo3yJFg6BcVFfC7YF87OJE1WyO0dZUd9AFU7TV7q2/Fuj3bLzoUDYVH40s2rEOquc
jvew79rCfc3WtKgecp+QAoYDFY3/su0lDDbQsL24njBDWiOHYKrJyreYBhMK20AiRzjJtXkneErf
810jwsw+DbDXU67vqM1kvvV1J653Cnq6JlGRPcqSbOSoGQq0WHAUSIZqH2VteM0F6nhrva9zgL/k
b5FRSr+V3qAb/c4mR4zRedcP35zpGwrUE9TPaYeEQmPog0R08LFeRFJ/kzaOhjEmBkctZry4GIPz
w7Yf7Xri4ro5YcXVl4MgYVrPSx1GyyEJGlfSD16pCxnNkB/bLerKkrkLsZeES8JaoH1UfwaAyu2b
1YuUO+VuGQfr1VW2MU7biV1GgaYMG8UIjDm2N8WDA6DCH86JqcVWWxrWtkfvx/zCSLwXGTET4Hvv
CeYTQduTcPGyc9EgvZpOmcichzlYAh2MUWHktNWRoZuV93nbyjDYaqZklyhXoQlv0G8Aiombyhg+
zJv4ox56/T+O7YyaOiEnsX3bxRPgXlc9mFr0myonzCjjh11B29VoeYj2VhQBqGElVSyJItcnBWym
d1TRSv3lN0styR36+NmBV2avKQGxOtm1ImRu24h901h4D6B8NY1HppcW7eQTerrsGJE6xOPa1svg
EnaI7CufZ7ZEh7zT9dWfFjIZLmohQxvzYEnKUE09LxjpHpwYKLGwnbSq0HwYc4z0TgA0qGseZpuy
9y2S+YFaaTUPoo2tSuTs9Hs22Wbb+teWuSTaGjXBirLbkj2tj4vtue36rP1hb0SNILSBf7ft0qvI
Y0708ZzX19S2QAS6wtPBCOoFNczIJTZ4ggxiFSAoI4rfq1SHWX88aHctp7G7TfKmd8YTyk9RVXfA
n2Hbna2egNHmuYl8pTC4+TWL/4wEvzRhIckTIoiqrDPNIk04EWHCR+QJaILj0qlgZW9hwLUqb08J
c9xOv+XkFumqFMmFk8lD1VRy+LuvLIHO3Onc2s2PnjktwXxjWYvW8Zs4ybgzzjXnSEyRJtgIFdQM
OKYOxkke/Yry8cW/HjlG1es7t6lwUhpQTXFdc5B2jmp3B2Be0jcQsYuuAKSPfPo1KYnDWm7MzVy3
HV78uQ8d7mh+dDjuHp9JrE2AmA0hlpC3KPDxntwJjMBc2loxBvLVHcxVc9d1XbnVcTJoKY+QqMRe
PpHtQmt6TJ1MBeVxz/fYZWbIqSPD/lIgWK6im2l7k/dlvL3QTTYxKOYxzQ21ZocWl5Bov/YWYraT
INRoWo7ocjUtu1c6zvb889oInOGN5J7r8rq6IdKUyRIw9tGkc9P8gFlq3r3pdnrX3TnpXdixyfXy
rQpH46i1V/sNLLtCZzJ4c6XlBWLs9BtaJJkWXeUq0Mes7K6mwZ7BBNzCzijQu2Jc64uEPqXLWC7Z
1ZM7utEMfd6ljd4cdvKm4yjlX6wrWlVMgpuYcFfz7K4No8emiBhss0bu8jJJsheLx3FNWpeXskR3
7jwJij7yiJuC5DJOU45gfi4V9YpmviyqEYheka2hSwMzSVEIDTU9FKpNH1U1QTwD1RGWCwV1bBzW
svINEGc0ujXJntcyevfqQdqRinWZDIdhr8d/bSnkj/JcrC3Rs6Vo4cK2GLvtRJwiRJPePcMxtORj
J8G9vtYmu4VMK8QExeKWdveNCQ1X/chW2gLCdDxAjCdIFkS39Cyyfc100tZ+r5nsEv5wSDpSIM5h
lMAxMPAG978m+xvKMaoy/doomzmxr2Fl6pdsv68kBeg3JXIW/RqqZNBvrzmznXhx1CPLYv57J+e6
PmxnG1C69tMvgJHzKXBMpnkcC98psFHua2bvPAituDYgPaaxy77t55t7bk93JB9FE6d7m7Tg+u2t
YwNZDP+xdaSpwOXPSV1kmgnfDvn9nSaCd/vu9MTFTbu5ZhYrIEaJMy5BxXezqTz2DdvY9AN8ea0H
2QNba1lkrIOxAGNA4LSp6MLF0bvu7sdxF+Kp0P5uusDNaQZnqo+cfcsutr19NDFieGRpXGVOVYFM
zTtuNrQ8S1x5HufVma2LvFbfu0bXkA4JYPdZbrHznUZsB3yZ7UZvSy6iMuQebX9ko+vj3dk0fPam
n/j3aY62PtzSrtcP33QVeBMD4nUrtfYogZBTjFojS6Q4R/UCijcaPoP4Iia2xiZmjEbGKcwWMD6Q
EwOL97W+PQdnCPVD31jQLky1vDi4Op72kns/yHflRrRJavbfAR/oR7STl6iV9AFt9cz2IDokdFMP
qdL2UrQ9yYbFzb+JAtmgz36EmXq5NpvIIdtIz47wBV0x/w9zZ7YcN5Kl6VdJy3tkY1/GuuoCsXEL
MihS1HIDoygK+77j6efzcKhaYnZLU2NzMWZlWakUGYFAONzP+c+/gLXw0VLpILVecldNQAArj0Ny
WCOIjryUYTHko4Q6l0C4dYilLs8BWwIaYJRnb7plQT+wb41a3Ht1ngT9R9xM1so67VdlSyqMOrjf
oV6KTmz1DR40R+AokPYFV2ppIMmgxgTeQHE89JP4MmZp9VuCYPNGq3fByg1am97FykRntjJQesme
6DHM4TVFuyau5VzDrNXi4I0YImyFBpjc6C4Y0TH767NF/0U1jjGS2Py7c8UmQZvQcEEwNxbooIOJ
PscN3w3NqOCTrHSVXGHZwpI5i+vGSRfzSFnsrkc3duhUmab0V6wjfNAow6QhhzRMqEE1WDD2GRqR
zKeVFCerqNYc2ZZyWemHZiUE9oncKdKkHyqwUcqbQLnSpB0d6hX6nz5E9SA2bymZN6wzWibX+nrv
lIhgava2M9yyPnGy1pzis8fNSr9ZLUiNbj5TeM7lUwDtu/5SpDUtv8NGJr5eCXepcXWGySSva7UN
Uat0KCjw0lZZWlSDUZ/eQj1Ul3FTq5OnUfWIdqZMGiFBlKU2MwXBql2dKY3FrWZBs1ahlKLCFKcp
bHNRxmo6XFBOJonPWUZyfi4CTViZnC+Wg3wWMvAQb7GnlTe10nQQk4n9XbYCrtzl11sNk/4MYYBi
8a07disktc4URPp0dIETbXNjS9NwTaeWt7Yr6dGUnfiiqyVrcd2AcEYRdYnEv2QDpEwQB454NZGI
tWfgPJbueojkrS7cjr+zjH70ZtHhi4uHTmU2BMUPDhC3qDVS00FEFveZB0MR1wGB9nz3ApYtPb2Y
qPXXBl84L/Mj6zebSpdqHlO6RLkcVggTB+0ZWjCuIrh45A0O4fcr5FKFSefo+0mf1H1kK+I8ZAp3
1pGeF7LUnmNI2HHzINSK7wS8kvaPOtFC328obbuSZhtcndtjzvZd3tO25/NdVmME4frmZLDKlqYR
8pRV2ruejtLXaPVTWUn4cU2bou3sqF2a4UqrSDmO9zi1QBsnZjBsWaTrvueMRKTEh5V5XEvK+Up+
rs41WoiSjqd8xVNKmjpRVjaDeFTXVsmwR1E2lNLQaN2sVnpyE2SiOS1k5VZarmB4Rzl4T3mpq53g
M+EvZ7gtBynudtUByoK4IojzwtGPIKuoI47VDlIwpvVqWyyNaDBtyYxnsiw+UGjPk9ocsAJxtXkL
Ridk+JnmGDyXCOT5gy2af26fJExjH8eqAxvjqzaQ3vCpeIiFRc94Bg4lLGBIb430/BA5CdA/TWlt
ijKjUW1B2IQ0JV7VyQvGO9tuhJBMJkLNVsZB3Y6iSF6NocFLFz6utTRiKayFySCpf4uspFZ/GEH3
Eq+puj2/0MqyZlXGKJi1O0zEugTh8UZysIIFJrV+MVqdQ+m49pIGY2EuRdYH2rnF73sNieIuqjWz
Sx/Y7kRhjnBa3HBXxWgBUdvMYAQwFN92N4Dl4eBiu+7jUQZRnh/sztYGpuQfyZ65NE1RRFcpboql
H8OwYZWvMuj1oXBCdBlfPDBdnj4Tj0duDFYVovZrzVqwIJsimh2ezNQgdPg7ACFZ0atflze1Yb/L
3Y6cMOZO51J0hZxVCR6jjvf4CiNZ9a1MxFGCh8USiz4URZLAFMbeCE11U45FOw9PSgR7m46SzDBt
ulo0XKDwprHzrF+OVTjWk3XbeYg7PYGVLkGVRa/IKqmh9k5a6Mm7LoVdYx8i3R4sF2c1LewJjXHQ
RUPKaVAfbBK7m+tXbLhE+JeC92F6S6utZVu7ItWh/9CipDLdLb55EZpQa1lIk60CwKHDMjiVvRVo
lHZsE2ja10MNKSo6eBmd+GmOht64LOaizJ4KltE3S2Gs+5TZvTfsEcwuzDUTqPLA8VCnrsqx7j+q
Vd2Ut6i2gvwQDFwfLCqjnZOS5w4Gt7XDaN08gPlF/WlqWFv7XA9m9VCVhOBd67D8tmmZ6M0mKHWH
uiBk+4VuYnrl7He4MPdbdZzgfxEvPF411mCXIDX0d9pNsRTFuK0gd9l7yIrEgXn6MpbXbpwtarM3
W09EuvUuPn7x3sxGBTPIuFT6o4KJSDZv3EyfA5YYI8BJ8a0iGFMDvz61MBymtQqaj02/NOMM1clN
2gFzPYhl5rQpY4zBEj8mJcim1WR/sLcqj4GB4bWpWjcBFb5OSF2UDo53BfM37mzfGDR1WrYDM6vx
LivtvHkurQJWizdE1nitaU5f7lHj6gWOipl6EWN5jzzbboa7ivSC6rIG8TSPXtaWyrVVomt6cdmU
q5dKte0EDFQxu/lzvsB3IvS0nwZz8Nsej0CQYdzIvxCJzcwJF4EPEd9EGPjWSqE2QoZELBEx2rA4
uKMOrNFeiOfqHaP8bC2UVxG1+QTatnpsSeDQ0cJQuYEZo9snSDLcGb8xvbk0sLNJmUXhDMIQKp5z
y7wIhWRx9vNehapfym1ZgcTCo7qSrddCWZb4+pkOShi9O3xwQdppDiTCVIaBQNKkMk6XTmzSXMHT
PTDgCRP79CgFH/JFEjm/ZPcTELB8FU07Z3RgwcY4Yp1lJLkxujxhPAfBvJ3O7nrrgSMhTzkiDWDy
nvdm+NIsVscVD36PMwafxCFeAV8pfVms98FQN6p7N5lLobi7tNMoN+PYES3SosH0e20xlSsLRmqi
EP1XzyaKo0mr2d0INCzLx65yg+JL3KV28HUklAflrzqo+X2XdSa+7+jOgXbPA755xZ3O/wnHfTrg
eB5jEGYrUzudYVCbPTmcZPOuBF3sXWQ7SjgZW7SlAp9IJdE1PlclIR9Sh8NBHEhc3Fh9UrmHeeqg
ZgaqjnPkXa31YTYfiFjpMM/qLdqJFpttbWwpKfoivbONIlg+9hQeJEzZECkHUiAhTzc7o0vJcHrW
Mz3RlEPZZjFs/3dOy8s79QVUH80briNEkvagbDjwo9JD0R7HIearm7oakJhPuWpVu76pm9qHNKUr
m5qOs7ytJq+G/DSPYUIJYLnpHiJzs7e6McoOXjdDT0LV6Xh7wkn0h1RVavW2ZVC4Hax6YmSUZZ/S
LraeUOCnF6Xu9i8cPl21dRZ1Jv/PCiAqzxFvmjlRdw2IiG1FM1Tj6xCDwV3Q15XvIlDM2xwPkys3
GYYdMjIexA582fxa4cJdbFsMVptDNGTTS2NCKfPdRR/jzdj21Zc6rMiAmOEAbSHtOg+N5TbX6NrM
G3yrSORbxiSa97qV17e2NSVf5rKu79jdMr7lxIwQxOTG+6hqlAsnYJ+HSz8PF3qmjeRA02Srn7F+
Y1fL0Eh+oAwJr1q+/Kzxg7I3nG0I1/NSB/3+CgY9XSGui2B9NJ5KonoUcfPSqtW/MIJIraNOm1eg
4B8TbRMx0K79polByDV7sA+hQ6Xnx4y17EvLWuLUB0AOE8hgevtlKXIYSKFuC/Y78zt4FBkhAbMe
m76eqDWxzTnT4sLJiNBOaJCY29XlpZPHxjbRjPEmCULto6uWzucek4qXOEr7K5iPxt04aawyzw72
XqWr8Jcy80of29TddOD2k6+rQXOFFX75ibONk2FY2vSTopnFPgp57mj13ve5HX0M6IdwVR+TU6F6
+b7TO+9AFvO0N7DO+KznevQUxJa9sbw03o/KEryLErg7zqhnTGJ7nXzIwq5vC1JQRz9WomELwy6v
D0buxF+nUtEeWreNpl06qM0L3Ffiu2A2AgCakTIQqpiSH2oFqJI2dYNKCas2ZL2Zkla3bjc17U7t
9TzfDl5hQDRV4+Hg2M74nHj0YtsibNWNbgYDxJDJvE4Q2h4tzvjrJezhDUaz9aAVdbbvk4CsHuw2
LpEvhHAiu3EMLuFu9uGOfal8cPs5vEG817q7igrunkzL8atedSED6MFlIm8kVdts+SDGgyHce0/q
hIsZk+jEVTcVCtcjb5v5eIose4zD8pdMQTL8mLgDzvX8xt4V84FvMWfmM+loRXChKoPdv/dmyEzW
0R0nx4l2tN+LZz9aLt/QlJLYNOBwc8AFAUIvhs8MUJVyo/SR3oPXlIFm7JYZKFikwObT3ZKGaXfU
R8QAl9BzKu0SHC3VvswzZiLJxvVG13oKkd4lve9oPG3sLTqQMZUdNvD5narqOYksMEbx3ci36azY
3mKQYYvjZnIX4+oBk6ijo6EevMKAmPM9a+ZxmxdB7xwnNSEHuS1VVb0Z55DRbjGgsT7oc7ycyq4Z
HV9NrfYUJ55ZZniRkC7XQFCEkuYnKgP2ixnLuhJDGGZFWwyLuvnAvlurlyyDzDglfWYtv3M//dlr
CmE9tl825u02VvAOu+EbLv5A0904uIncOIvCJcIVIV833CpyevZ/JYBwVPpFy8AwxxH5YWd5wA+e
k9hCcJwkVn6zeqasepW6OatRCLaL2TYxpYIo/xujq7eWBoSwQJnwXGysdMf4mxolHWrhTTVWN3GU
OLRHOc2S/fn7+2cOrpsnx2uFuUigoR74nSn6397f0HBUsM4+AiaeW0IY8cMnL7I56mbimK5XA+SR
pk20xD95s+eaJVCnWo6Yf00M/9sF8DXTYtkYFwIbQmb9+QJsxNI2GXvtFbaEQkNPESnwqLXLDOkt
2BiZs+Y0axadkvPh1+//Rvmhu9S1pjBnIpXH+3skTzqNJoET4XydEO+yPLpuDwc7au0ASSMX3Sjt
3taJBPmNdahOhuhPMiTELiTZeNi6cY6y5t587pRoYWPJy+Ya//Co7m+hZ5Xzk5c3yXK5+gUVqVYa
HzqtaTmoeG7Og+K2drghcaAnYKE0+NSz29bB9XDZYIiNwHXf6LkYCq+GRBSqYsqE/UrOGgLPFdDt
YNBxcSLTWpXvjY5sMOvf9MrAZZOFbRLHY8Huob7/+WsNOD0muDjJdecNELfIDNLjFKEFQUNpDcGH
sSTouHR4t2ZMAb70WOUPEGUoOHr7N1/y2y3F5V7zNbviqugD38p7RvQzIed4ci2L+/g8IpDDR9lJ
/HpN/f3t2LnYRyllHNUgVOvnD5/EsNe8YbGuQmFh9uX7ZDcbiF3oJDzwmzd8k97IPUZWq9psYmRJ
qoTHvnnLtg0mwUmqr1ZoWDI3ppBhH3SnM3Ajgt2G7DqaKTA18Amgz+pW7ymfsz1RKIHaXMNPShkU
rdrc1TbdCkG0v8/ipvMoWEK5kEhohYgyxL/9ZC19lzH95FUBQSzBD8L/PpjFVKmSA09L2s2uHJ4o
AIDBav3cLkhgfgXurX4Q+IsT58IrqIvChu7ge/tUjILwlWC/yOywDGBJ38dyPAJsDfuyHXJh1p4P
wMdPjhaLUfg6I4maIV5UKvqaUfqGrDXod7G0mRgKRcxKFkLd+XlswgXy2eCAz5us0GQZFoJHM1S9
+Eg8P7yzvA9tYgs5OrWu0I2ubCQ6RwFfrw0chTnMiUygTF9maPDt3m0UM+z8sVGa2T60Ofbm3mVS
L8TKSBhMVUe4cYwZR0ZoeyskSOckb9bqeLJux4mcA60y0VUaX0JLX55WmxxUvGfyxLmlZTiKEtow
RM6TjFdVC0udk0NABsCsbaQr4ArPubonbqZTDwK+XJ0/YNmI0ElJYpR3QP7SijubhRmb9xkztgHW
GHpekyE3ot3qGxN9N/HhUCXTs2w7sTHK4s4Pud24tBNWXyQogWOBMwaFJsBsRc74sEBqin3FY+XZ
V7lejd41upe2f0wILcTwHzW9tXhbKYHyhB9msUfn0ua4fxACFBqwvUwTDR1qlPy569XY2XTYC9j1
blArgaGv1EDJSoOipoQ4E+NyOfi2hnjL2JVZir+5z39Cr9uliWod1rl+gWrSo9DU8D3/uEgNP4P0
zrgLU3vM5u0qOV+nMQykxTxpBa2DHufFL3AqoCz42J2n5m2jwn+ECbH06fJeArhGDaj7mjMiIb8x
SpbIepKD7bQllOwFvaZmPvWc0/0dea15pe+hDyvzk2MuzODuoIqKYa/FGBt0ObXGpcWxMVm0Ntu2
0vVk1cOTISSmz2gMz94KkrTj1OCLnY93rK2RnVclJV2Bg8vGsl+5CeyGAhZZchSSw73jpp2CKEjq
ydcR00p7WAs4b7bN+AO9vpbcy2Xd2xOPbHp+cJl+WjXiwsHV23IHl0AsQznWDBTU/ReVokNR2QzS
vKw6C2ZToh9YmHIOk+h6YqnYTZJetWwrCB4o4ldm60o1thMkGM2OqabVI1jOgKWo2ptguHVSA5jU
b1fLymISA/P1k8olBiWSqdOK08qBxkrHlY966nqu8gHVz2DsPIn8rE4XK5ItHxw5mFORbPNMyknc
97lugjSRKa8cwMrZIzo2wT2V/EnJUlthaRMrVvYe8lVD9WnqqC4YIzEF4wECI6u7hyrX6WVKwxpy
BOtS0i+nkrY7idXIoJ4x02GlLS4TptV48XBnvHBbnz0j1tHXil6vVGTPpV4tfeGEWH9Zk2fXsUGD
lRsbPBI+8CXJAVQjTVgK1FpkRUcrLu2FCYbcKOMicNlE86m0eBjTMlJTuhVPIWDL9xQzWp5qSaIZ
5eudtf2NMc/ue0Kr+Xb9AE4CQ2CCUTS653XyLr+a72v7vOu13AU2+XWOIndKXK8FjuU2AlNfgcCV
oS/JAN+nSOfJ4zoLDNETLk9Db4szYz0lVmcZyexatwfJIFj5FuuwYB33NJh2sS4LdA9ZFkLCjyFa
oQ9Ff4yvX9QQ31IojWDRaZIGISFFZAYmVTp5RrRnu8g9JxF+D7I4g3H/WmxMfqLtOAM04LYKDYKf
N6jxeUUwsPMsTFaUciq9fkHrIFJH3LvE7xKwdJyx1mPOhOyLtthdxCRsTa5cFbutNESbJZQL6RK7
g6NBmQEjeZ1GdnJfqcCgmWz0TIMJ8oDeZanlhYbVP20GdTr2FR8rOQ1mPjSLMkH+SZNkqUm+u6zd
cM8SjcPqvJZSKrGOUjZUcRj3BYuPgA/BenCk1TkdZ64dE8Wd1ZsaAJvxXAXK+bnBqj76EGKlgoCa
kEflNUtA12WeSiZHfqsFR4XZHAfiqtqX1ArJTSwStF8EdusDK3adt3kw0RU89Uk1ICo1CL0iNfaK
jc1hCeBynq62kqZpVqPgiSGLNzN3g695EBZbm5CHvt31qkrk3q6T3rxy2UJgEu+2VgLrcU+CLzvA
JZK0HrNDgsuXwtuENZBKhEFIbijLPgNgYSFIWuy6Ia+F47rQJX6rpbOgaqwAOXRRJsVrh7jyRFff
KE8hugjGuOS3rzVuL4uq1dFM1w1hrgVHTBDOCHAQu45kG1uFLphghMqLfRbgpGfBYAQVTQ8dbisd
GiTpgN7IjPRAp5sr/UTD5oMQrPP8YHVaWhXR5vqK1Ie8IjxzQTjL5bx6dUKTRFQmMAI4VzkKuKpW
cvbleSTxfOXM6Y7k7iSLp0aWhysTlOHAeflJkrTUujRnn5N1ecpBnSSg2LIglXh+KytbrFVt4tyH
iHEmHnL4b3En2eQt+LcJJEEe9FhxRfafXM0rBySRKvlEeLgKwvVgYF/ZtMiknEu3K+oyBmQObPNL
Lr/s8swH7RKyj8grinDUuzdsVdjLGEMYtsNjEA6FVWK7LGJ9MtcRHARagIHaXwL8ShILe2aLWo7/
A6HJM2zz4ADo8OZNqunN6jgztxayun0cYKbPBEuqLbDwEUU1UkIxHtUoL/j+6xa+T3lSx9jQ8FiT
pAZbcqLlTVqfMZyBl6bfum68ZPblClYo4dil2iZkjhDZqH2Hc9wvp2TKWGNgMwLUVbEtwZNGWvgZ
mSVInLwPVBjfmcMMdcR60d9ZE5Mi1qLGkczKWW/ymufACV3W5kaYq0XTbSsNs/AAgES5owmZympr
Mi5uk0+/bu/eYhSeqzuYT+NAYbmk1r2NGVkseyrjsMiu8qyC37jK3VaO3yzNOlbm3r/1xgZui6YF
PGMSk2WQofYGistSo6vdcomukiyq3S8znYID36ciZ428qVqZ8mJXwFlhm//1G59hnx9cWggopqF1
TaxBEINiyfHGlV1RXKPh1aOLYpwr17wkFrazwyuPJDlcajH06R33wFi30XCNWvqozYqNGc8GmXU2
Z2qj36Rn7UKnki+W3uF/14/V6dcX+daC09BV+L0a7QNMMvXvwYZzL8gL1WAcWrkvSfO9aQ2FbRKU
Zr7qTlWm7IGnq8hJ0AC4jvswdUNVVYcym7Du83UIJMpDU8ZKGW6wiMNO1c9ZBka+M2VwfB3lWQbY
HGdKkfm91SAS9SMqVSPa5ch/8YWQT4t1zjQ+f8z/eJn+V/hanuRdb//5n/z5paxgz4VR9+aP/3ws
c/73n+J3/vUzP//GP4/xS1O26Ld++VOH1/L2OX9t3/7QT6/Mu69Xt33unn/6w64Qwfb3/Wszv3vF
ALo7XwWfQ/zk/+lf/vF6fpXHuXr9x58vBFx24tXCuCz+XP/q8us//hQZK//x48uvfyeu/x9/bsq2
e/7jXfyCO7t8ue+/8/rcdv/4U3H1v/CR0TVE6Dgeejw/f/6BqPr8V85fBCrZeLeCRvFg//lHUTZd
9I8/Ne0vfgECMaAkbqfnhJ62xNWFq/mLUFiDMFVgJX4E26Lvl/bTN/hf3+gfRZ+fyrjoWl5XwEE/
PF6WjecFjYZBXQX2rVkClf0B9lVySBJ4taR7BmTEa7nq0O3wwGmuFIYWJd7fM9nZUabfNmxKO4VE
cNwCTcU38qT8ksK3/c0Op72BQwkdsQDoQAxNQydyyxWQ2g8XtIQeBCaMqXbz5GqPUesal4QoedtI
q8ZT0Q+UVHbs3ZRI0jb1rAYfCuYI90XcLI8/fIvrrfrx1thvQp3wqyZc3rK5NS7BBrj1C+umHy7F
LmtsFetO32G60/uLm8PMmAZIl3OoXevMJvFJmDZT00whpJpZO0xT2V670eDseuQNNwukipMVkBlN
IWx8JEbeOtRsZoQ1av7cF4y+oq7LtoxKvWPHoHIPHKUCi6jvaqt7CfSWqHFKvhuTQdYxaPLotmxn
9QpmcYcNjoGjbdnEzantJ+WdE5XFrZ47JN4hpfcDrZoTP4Oh+83AAeWQp31wzaFXHNnnHcgH2TXc
vfYwqgvuoDhMH0bDfMm7INsMZfqZCzEuFDQIXwd4u5sJXuemak3SIJ3wnZll15MXmk8ZfK59bOTT
c6ox8p2i2yxzOyifxoujpJ/sRL0do+r9OKCAh78Go6WIj3R02Ud8F0mOqbToHsduWrCJG+y1mnXT
qKHhq6QV7ca2aY9LbS1b3ICmPcd1+74YCxLdvaLFxY0OD2WNcenNy4Qaw8RrutCr1KfEv/NwPHpx
uyHeWXDben9OXvKa/defXUW9C3plvB81Cn8fp5ZoYRo7vxZLGPpjjgjQxztDx+/dajFmpXc2n2lR
4uyKpXujaAQQXiAX3KTjckPDe9EOirpRhqfKUj/ajPt8LNXxGWdwQNRq/kWZmyvoQt+Yc30u66jb
QW6IfC/p1IsQzbyPLXNznaitfTH3brHFs/iFFJVkS35t7XvleFnN0+y7VBhHhrjdobfiyh9mk3QK
qDpq4kXv9dhNN6j7lW2yZKTpLozBS+NL4gX7dtJIDWB8uI07pfZHQ88eHS+2SUOobyIMmy5I7P6a
5KG9w43K9KdRaQ66Mqqbxo5etYT0vbn4mLaLxjw86C7QhuMKiAvERZBaD7S9vU9eMmYHKq6jjptv
stG5M5YSmwPFdetLtVMx1pyqd0HfUNJiHE9mYaOeGCPOEzbngbcPAelPYRDOF/PSe+81nDcu6Xvd
m6VSlZi6MIivgljV7kianE6x0RX5xgXzvWYaYp+KrBhuSDBtxEpuRnNHWWRZm16vlGwLx5/Ydq8d
o+uS3WRLDOG4LYoqzHy9n59JDkjvldo+KLApIn9JTcU5tmFpaLsRGmVwbXuYSt6Vgz2ihM1txY79
lr5m8WHNehMSVdXg8K3qSbtXS2taLhoEKuXesZiMH8yxyhIYX+ndGOwnK0w/Fkt5CXD8CIMaRuVA
pd8FfbCZBVqOsKEFumSEOllRdYXIyXo3Jwvh6ZhWYCSsY4tP4nwFxq4/Z4yRntnw0lNj4YKF34ij
Xg6qY0Zo+Gbrc24GyqsaOf29h+//I36jxRFKXNf7ATmvX5WS1AgQ6nqvIGn0mRIPfgP0eewEOaOe
JtjQYxtgAKuWl0EQA8AT13owxiwneWkii8f1kuXDnPNgEanRvp9j20N4A71Da8cLGCTOt7Tj+ICJ
NrafymKoH6KiZTYNUde+HpsKJ4Gl0sZbLxmiw4CxR8oEqiIq1oKYVajYdEy1MWwIYekuGr0ZVexA
p/RdwQpjT2O5nvLJ6p4i6ObkfQl5HgCCklwy3A3SpwUpgPuY4GLuHiaQnA7ngMhqqldkf1PgF3Oi
BbexaSZ7D94mb90l9o6YOKyc9KKyjhVUiw1OXp395JSq9ojE9QZ2ngmeGhQn1xqbhiioBPpyamof
Z33ZxTVQOIOUpn8ZM61nfO4Yl4kBI3DEvts3tW44lJVXGZxYybhNJmvcJX2rbdCXmpdG5YA8FD3R
OTVpF/vaC6arPjCWAl+zXnskg4XMoXpo59ZXgDRmX22w9wUo/2xMgVdsmtld2CeK4KZOney96yL/
xDmx1w14CEnyAv30IW5Q20PacadTAeX+xJKZTg4ucjdQoKNKYExKs2vbSnskjFR7RHE9nTw3sy7H
oIX0OrBhqHDCfQy0+ofIbcYLsiLzhxBZwINuKyee9xHRf4A0AS9K+EGMkY6h5eC81iraLmTP3YxJ
ll3EOf5jBByGz1bZw9FuBhb4sOTvbHsYtkZtYECTEM9642GoVo0GDjkktFePzVIbmD1pRr+BK6J1
D7FCC9Zpc7iHtZUIu6fOTtn63EbFZ9Ksjg4T5Q8V+9Dk232ZHAn2yjekjkDJKpChP9ZdHuKR08fB
O/6tPoxNlG8wBvZuRgQt9zQaAocHk914Y2MzBIjAvLNOaZCn14W7C+tquYNewzRzMI2DBvyX7ci9
y94pBXU4zK33Vkk0x4U1l2wDw9Q95rNzM2GJsGcRqnSvbsmjP+CrnGkBz8swlsNGGfv+cW6S9BQm
zXJfDKWBa5WhHnJMMG5yrVKe2goLDAX+hhKYcCSbwLrSxmXEdz+tP2XC5wIE1PgEs2jcYELlXZSA
5WwOUfHYYl71CeKGfYxIsTvNbjbcJhjD7208RA9syx73lOcuJDZpP3Ns0JY4xkC4MNfuz1p/xArM
YNeKk48AZem7PqImhEDb7GjMg+sldbsHqJVZskE9pyI/hWxzGcHqmjHq6MeNFzktamEc4T957eTe
4Lv3qBZJ9RybPetwcvCRKnr3GcSJo44s6ug0pBSp28Bs6/2ENdHFjLjxvQ0ksfCjun1vNDVt6JLN
+QeCgjSsqLPcurIiRSFb3gg2UI1Lzn67c5ut3S48Te4QNVfYDBWAvJj0CM+RcJt29q52mnRvKklw
ahbT3Y+V1W40zSjuPTWrjqru6F+jFDB6e34GwUVZLFFB2jXYRuEzM1ouEo4r2E59snXDWYXzVmcb
o9amLZTm7IoU2erTeYMI47i/QWAafFqy0d0ymg5uK42MUyo4lScN67P4Ek1OhBBFIbQ4UCfV9pPB
VMOrZTR686hiVvkIcuxuW0wGHjMAljj2ubNk43mJa3QPQZ11X4mrZSuwMac68OVMp2VisAM3b7Zb
KpHIMS8GxeZZO8Nnuduw4KcumJhFBlR1NrLz0/lYrnX4cD5Jv943bO5xnird9mtBy9szqgxN7ZFR
GPdWQ5iM40eDddHWcLQh8BHzBMVmAcGb9nkYzqem7bCzc7XxI84v7kYdwuAU5TYBLb0o7kmBrz4Z
5dIeA08buo1Zm9Pp/B+pNFiQiWXwTzuoSGlTxrH6hFtqM8B3s1wMxBOLD1CaM/ubV1MtRFNlv0RW
nn6zEdJcThnSt41p5+alS7pZuIOrN51Uxa4+uelcfWwhZ1N6gUpqW62z+St7qD7Ny6CeBir/QzXV
vDkxsjXqORwegcM5hx6gl47XTQmRb2eqbEzh3Au/SbMPT17StPL2k2Ts3WE5IluVtfX9qa37V9P9
/7Ix//+w5/ZIA/6fe+5D8/paZM/F1x9bbvEra8tN+wxFzaRrIxEJ5oVoe9eW29H/oq2GGcGw1hHc
FDC2tel2jb9gf2EUQ4gSlnEIQ/7843vT7f2FUTBRcXSfgFF06v9G0y36xh96bh0yGziWeB1T1Wjz
gRd+7CtLJBNYzyYjHmd93RNG5k6CQNj1MdJ5mj6D6nfOkQdQnLWjG1yO2EbUTzDQ8+r2h9v23zS5
b3tcroVm24FpqqmExKHF+PlaHMtKcGx0tGOth7ae7HB7jror/CNH5X2Xo9A4GmnZhvGW8QGKvkNI
DkDyIQZ2ehQpmp3vdXkK09yFH3Dwhthw71uliJfLX1/n324ZlEKYgBCzMLaxAD9/vsxhUp1gsozs
yKGXhb5IDJuOE7TT8UNpEny+zbU4TDjB9bDxMVgXSeOMs8vf0If+u8twNDJJRTnIDXtzt4y5Fo1E
lh1zaGnFl8YYhmgPPEf1waCvdPZYYUx2s22KsPJo64asuwoJvnC//Pp2vMmqtHT4aTZgsEWahWlx
LW/uR0DNiqxm9K7yFAKsdmWXXdoBePa5p15XZDXrj13MJMO3yX7SyTSO0uoy0e0AjXuhzjf//uWQ
hWcB8Ns63O23pKPJIy51TAznSkyXi/sehuxMG42xH5S9CQtTc884Kw0nJrgOGmJCqEziZenViTa4
L9vEmC9+fUniBvz4jFk2FYRhQ2n0SBfmQft5wWTGHI8TSVWXvd1mJXEcIXYih6QLLYz22jBxKoba
Ulzl9VaefLM6/MpT/9dXobMF/XwZiNlI0CW8nNQkBB9vFkzHjK3RVW25DGaP0dFnp8HWoLmx1BZ/
bzQ1SozdqM55gXOe0ydLGWwi06sik2rFQfHmpz3j0W8o2i11U8xU8/NmVJSyxDtKCaNw3ukT0RTX
Yeco9nM0TW6L5x843+wDutTpM/Z4YkbjeZhLPQeDyT+7vgo5fn/9Sd+uSAPOqmaZBoAS/HPKoDef
VLESKIsxve5qle0wsGKGy+Qz5SrzViuUbLOE9YB+ymHyhoSAgh2C1d6kNykU2P1Nxwf+9WW9WQZQ
KjGnwd8d7ixbHGfCz8sArUM896U+7PMu6dK9wmC5ulK0JcRBLgrtWzgCRk5PEynuoXb7Ivzdk/GG
AcgFeJ6jqoxsoHmyg725Lbhw4tPK+bPXlFrrjsyrM93P59n6auqjmh0jI2m7UxOjQfGRgtHUhmml
+m2RJdZll2v9eBO2eVwdyJzP5mSbodz6RCU1Lb/hab4ZLRkka5MiZnJoQj7mkRFb3w9gp+Oi5iLO
vCNkRbHdvdam2IGSYNS2xyLvsoeC+cb0m4f0b4vGhRYJ8ZZzBz9n+2+k4y4zJuHO0O/7clHd20Fd
YrxDk1Sx7syoHZc9N6AMHwa3N0GZGsz2jnVjma2PSVtg6r9ZLG8C4dlMbbZTIuUIhbUt2LjiHv1w
D6DSjuloZO1+ISL4ziX5Xdv1hI/ml0uOyecBMuJwb1cIli9y1KYb20v6+5zqzt5ErrN8GvM0sF89
BMZHvSW3a2famYZjOD2h6UdjZUzYHzvY4xohjdW/dzaJi9cYPum6Z1G5wLf9+eK1uTZHr2ybPS7h
7nCfjlPiBMCYkwHba+r0p2W2l+luqLDy/DYOTUkvn7rW668fuPMT9cPGKy6Dp58VT36Ay07z5jLM
zkTLxHO+j1FnX02pod334I7uhqRYdIPktmIpvMvw369uYPwl4bVFYlizxUr/f1N3XstxG+vavpV1
A1iFRiOeTmIUKZEiZekEJVkUcuhGxtX/T3PGXubYJf1rH+yq7QOzSJEDoNHhC2+Y54tKkdH+AJXQ
4X70izs7X4rcGTID1IAc23PZrs72AmMvkDuR3x4oiI7DNb39KdgmJcjpHZIVbbWzvH6RF6VK62GL
TiRS472Hk8ehzN0y+Ih4dUyhv4Ka9FgCAfTuZzv0intmdtX9wt/w9V7ORpENC3cKws0AnMvZvQ6o
2S9BHw6Htguqpz4YwGwtpcZMIBVdW1xXQgy4EkGcoDERT95W0n9ILp12UOJTsEhEeyp0MvGWqqbp
QBs+PQSTGOZ9Eotq67pqrWH3YfGOfc4akGv72Xw9V+34gMS1ivYqCwdIplBcrzOSZHSzRyQ88ncR
yP+O8tecqMdAQgPc+K3LFYK64a9ELteeNtmfgf0/RKhmvpyNRAjAgf/4H4vS7PB/WZMJ8YtuQ2Qo
ZrEu2Qcb4VxqgL1W3nvJy1MAd73s1kjpPP0PLkzjzQfbFxJtmaP9LxfuwyapxlFi9ovD3bSLvE5d
eJGfpAe7qtVwjSMKwrhlJ/r+/udXPosyzRIKAwIHWAGeRzvGTOS/XDnAhzhGEHI4VOnqzY+oYgef
ollXLytFyegz8vGJg6NdW4hdxVG8onqpy+IXy+Ufxp1wBbSbT45uk0i9vYlGlolrYZdwKDNbdQc1
zBQ2LU/kkIA8kUwfWugcO+BUSfKLk+ifrkzt0DMnkc3Ynx2ZQuGMEYZtj6+jGHwIW3EV/+hY09us
m7BoBxWFhOC+BeL5q/PorPloRp4ED6M5mrRQoeTZAYDMyVDPS4S2AiYJ9i7xu9nkPyK61u1QXUS2
lYvdiptLc0iwKygv6P749ZbDMu5uIFcxOD+fCv80FihQRSRmLv3j87eAjHIL9mHq2Aea2rsFTNq+
lGEV3dIRsNqXUc/+9RrO6fCLt38eN4UmQ41sohbDyGYLevv2V2rgrfY4CT3I6lQT5zr8qFun+4im
J5XEYlItxgcoiqxIk/tWvv/5Y5+npbwIQ4ghLmABOMSTZ6s+W0WmnbXtjDVACZs+qdW4H4sgC3Zu
TlNH2IUN0Dp3WtScVOhZ982MXwwtzXW6luxD92OPahQ1NKU71B+60T/8/Bb//mbM8IDIhkwS8uXs
DgcdDkjgpNxhli3zrij8cPmN4qN1RUVPdL+hFC0zYEqj/sWr+aexIVUXgD/YH6hgnK1Mt6KzQ9NT
H1pJ6XRAf3bZ4V1AndMHj1TuareePxVRLzugraV/M0R+feuLxPlgV/46JBRxgdbeeqjNfnVoVIe/
OLz+IaqLTEjHnRHvkp+eHV4Ysa2gUmN16NFY+R1oSq7hgUAo2S8wkvwt+qX554wX/yAXkV+VyDCO
W9o1q/rFUP19I41MLgKNjwoQW/jZjTg9fYO2rfQBUEFqMZcr5HzxFHGsqxrGfrZbJri0qDbm3dRe
J06c7vGrT+TDz6eKMEfF2zOMiNIVJg81s+V8W4nafPFUZGHs7DdrtVPFINd9PpYxitpRNYa7AF/C
b42aqmBj2WP8GQaLFR+WsqzfFegM5hfM+fppqlBm+NWWZ8bg7N6wEqdTiUAAOIfze0ubagD2vqoD
0Ygv9xBqy1vLXhCxtu3khtACJnKf109WEy7tzoOI6WyS3KtRN56qF52p5VfuyuJvmw8JUyTAXhOJ
u5Tjzjaf2R4bLBMYLmSDpN5MXYP5U9ShNQmQJvGx5Qndi6H0s2/hVM7vkImhG+L7Nul7DQgqJITr
Gb6RzVltmxn60AZZ12XfAz2A2lNV9mEYnCj+xV59Dl1BbVLAvHp90z6ua+fVIQdsdc55UB7cycet
HPGcqcqejtLn7KVL8NDPmEF872VSF1/1lIfp+1piKvgZnWp6TQ6QXKDUv5h8fzvTAuJwaGgeCiAS
aO3ZRgUSt7WkX2WHzm4aLKTmrhzIsy1Hhdm9E5ehfz1QqrY43RfiwueyWYPxYZ0GPJH3QdWgH3mY
XRce9s9v7BWs+GbmUVDlpMWFjbcNu/5sH6OdRl/GteM9BswaEz1JRkflUyZjMSHDHIyIdTQOjqGY
F0F7KL7SipuoHhxpU0NLRf9rbrdUNPLCLu74u9m7bBEU7G9bVG7d68UltUAaHN37+dKNutz+7vuh
4lKqC43j7M8f6G8nAggWagwcmMC8fFbT2zMTNcGM4q0dIevHxx+abLCbG6vH7WGPK4HOaNTTjJq3
Q0BP/+bn1wZs+HYdw9aEOsp+K9hmCBjOcZKxo2fJZpJfLAAS8uh+BrXBYEWTZRRrcnKsxtrOVkQb
8gumS24wXiEnveJcsqx5fe+rye8/T681o1x21JxSd5yYJ2JIDUx7yMpmDreWPSd2fmlDvp+HC9uz
B6u9dAr27ue5npv8hwxAXnxM0EPzPueK8zjeUCX1H3Gw8POQG7DVEm5FRSoWP+Jhgc3h9qjlJBeu
0OyiojQkw24FvxLtQZlp+vJ+0fOxgFx0jk1aFkRGmGuqGlu1BwTuVRld0OYs+PNl0QXFLfZLc2ko
eBnfhbWKO/SLgshMJkFeBX4+i/CA+prjN0V9CuqYqYnNuZtQLJRx0oEnT3KrZbJQwa/9+aHC9nOa
d21nj8uXoeqW/pNosPusr12f4hKb+Fjz/Z4mHQre6A9ZKNFvExiauKmzk7vudkLqnseoVC1Ncpla
RQeOp4gZud0wgnopt23hd/6dhiFpfkZ6J7zLEHxYt14B8VmD5BAw2HN5byG0PMkPViQT+sAnsfjW
d1HaVnCnvdYz7ycjs7uZoEjV+r0tRqLnu9PdZoqJJA7rOgfU4PJ58Lx045N3I2Gy0oVDMXih1BJs
wxUKHHDt2utYnbFuBI/MNCqRN0JngRqjl0VjZ8F3dEhNDwn8lmS4RvNYMvFSqqIM/SzxJY/2J4tq
JPbWgYxf9zzxmEJMeKZk0LHCC7/Nf0TJ0T39tPabCYGnbQGDjyGJa2UW8Om7hrYcAxSg7PPKF1FR
8+wkTuk9hB0qQs9QanR/hwxH8sOnNdA9YaIy0Wke0VC4bcVcDXhL0jyObahISPAP+PFGKe9yKCxz
0TmFkELrNK6Dr67yFK4xS2YqmLNazNvSQ8FOLsra9p58h8Lroc2WcdoNaH4Nz+jW5Nxyebzz1KV+
+zXAZBNgHt19Qo4PrTNZRXTRW7bo4k0+rMByd2IOQlZF39hmn3b7hMLRJgwT5d9FEeZc8soBf0TF
FNKadKJr262jvnznNFEsN6iB6A51I2DCzc3S4xmQbfDtnbr38Kzxl9pnmd2HNt4h4zrfKkzd0UOj
8odGKeLKnjUiogoDquHFUezFSrTmZPk4LXAHnoUWI1C7vmEH2nQoAc3zJnDWRn5ZG3gJ/TZnLRH0
ztC5inWbt+NUDdckSzzjIVAZisw7m+xrfKCXnrDH156CYdBCUmCsoZ0xD4CEml9zFZOHSo3rNaJ9
H4psZQpiS+LzQ+FmCSzMzEeKyLoDDIV3yYqmGKOU1QBmacAnPZMtAO3IKoYQ8aq8N841w9lZUZH/
OK4y2Y/mj1ySZ9atswJHyh6R+xRWBKexNjZ9WPtyn16aLawVthjz0jM31mZba6A//sg1xqC/CSvW
6jJaXXf8gn62hxVLCoo2uswxLo8faiTbKRke6UkliBTnxZ5HiHIbYAdmXcxey96Z0EhA2iYDhwDe
oq1Gc9pNSQh5Z0BXWn5AA05nz60z2MWFUBSNQ3weqTAuiOk3S/7IDjhGDyiLr/wL1MUV9Q4AYk5z
GytyILU9vafVaw276KQtW80jB/7xgVGwCXDa8jIxRe8wZlD0/0q3HX4PQEgMn3SRZAFqnnKiMYhc
UT0DzVJNu9Z7MbVDu3fxpLG+Y6CirHcCf9WiPtA2DPWHvovK/NIHjZnam9QaGkSOhtW6KfohGdNd
WOayuoR+0kZ3+IALellIkOJuo0vLmsDdtlmcPLuJNkxgvAQo1J6WhITx92dPg/GrHQv5HCeZn7A/
R9tss6ZaN8XOWbRZR1M/4HWmQCTwTdwkpueD4bc5KsMRicWbHpfs4qvEh45pONeD8q6SovOW8YBx
VRU99Mrt+FNaLzPvlCq96WsgWGOkiSuvb4Alx1jlVAMby9r7lJID1dxKgMvZLRO2Vld6xu9xI0RJ
5QYhuSYMrxFGD1nQCHDR9cVuBns8uWm7HtjfXnIWAWSpI7eDCnY62AgugCJfpK3sko4ypRbp+xJ0
2/RtXcGJIUBzjJVcgaVPDe/p9SwHlPOqWom/iFlcy2JUK1n7pkN0On7ztDGBwumQcGIP4Y2tFq4J
l46BF+bw5rzCPkbxZ0Hvm028GsC1xxt7FeYszjGVYUXVU2fOT/wQMl5X2ce5GSo3MEv/dOo10sni
YUt/N86cP3p1voXtd7ML/FlHFlYIkxNsbUYdnK93bBKV9fT6yViWMewRKmJ8JMg4wWusw9BiLPPS
JojpqwmU6s6rS94ToNacJYuuXNolD2DH11I/5VasLH872UWjDqloCkzgtNtNrEqFKhm7rXuMS+mP
zzwwZNaoxl2ENRjK6zzm++am75Vmg5iRwucPEBsw8YDdezS9tnYMppRd/cgGL4LKzBviGiPrnNWu
b8370SleW3nHK+BAULvIzS4UHex9lZXmAPWSqijsiwi9joTMEOVB3kulPF/1T6imW235rPVgNqsI
61Q7/5I6eE4UG7UG8DzQRUOvoUF1wluXCbX0oXJCzd449maay0ZAP7nooK8zLxqJQoi4O9GJbFwh
eAoi6pKBbJnSLsaPSJaI944qUSn5utZKanGPKkLBUGCX6eGahOgZjig9OMDeJvYDMCPG15Gq08Bc
Py2xQfuSWX6nyudTWCCyIuu/td0SDk+LJSWLEb8loLlzXpKSgkDrzTaMeERmbrp1TUwoDUKiRwXV
hdl5l+Upx342ND2D3EPN5nWcYo/M0Q2/j0ioeUg88oiIHyet/PFBhwp37OsxQiwJ8cXSfCBwe6jy
N94wNCwi0ATWTGgFSL0D7ehs2DBQB102jozMrPDs2jQvM9SkuLXTRwQVwW5zpVuEnrI7T3aGhb2k
XcUSsVTa8DGiydwg3DUyV3p81xznc40bl5nPqJ2Zc+kICEFmwue2ZCWJA7BUer0caAg+sqD0QbsE
/lyd/9AdqnDOjggfAquZIeYx8xIG+AoadSicG/jFXYboi41HY7W3JJjSO+L+JnsORkvXv0Up7gIv
QcT1toOobbe/iAKAz79hIYRqF9WSAgU1tFQr3Y6XAlYTT1yViPmzcIg8dzmtnuJTntrKICWrbAXj
kqpXof2sw5bnPTrN6/JJ1Y1EXW7Q6aqx6NMF6jq7UfFm5LsUsWfgrkXkNUi2YWRrjcOeCR2m5dOc
LGj8PVWrrpS/RZ68HOZdUMQGOaiwA5z3aqbJhLcYgJFFISfIhHrP53qULtK+dOrvuD2M2A2q1Flj
5OL6rgDb348hzqMPIaAcuzyA9wN0f++i5h4OF+2IoBebXZZ4HzDrDev+sog6c307Mbz5vbIa851b
itYFHL8UlbWvHGeo7luweXZ4Oas+7NbrMFj6WtKPR+Yd49EOReN4qzBJUuJAbzBeOCPrvMkvZ8S6
uLdU1SATsk00r4LuTyXT2sIiekYOERscprfZ8XKoyQ/xMWo+bdlt5mCDtCO2sUp2YrC1ZpaOfiTw
tgvzJf/ada0HmbuKO5WIfU86VD0iqNoC2fSKMkGm24ME+wn3dvidKHCWgd9v8HUV1QJSvJx8mO4Q
qY2Daeu19jbEiKkPP4WrYN742CF2Do11kSHQ5w0mXEXjyKRt8njI5cZRC8R1viw8gjz+Sm0nLrIW
XbVa8GJoxZqkjASkY8s45qaers1nuZ0N6kHXHqs3r5GRnt/H8WxErP044khnohBMrq/pSR7lr+dC
yd/coN9hznq5UBaRKDaaTNcB08xo4t07DtkuQqegmQ8UfuM8uzttF4Awak6EAQIEGwWBXwzfcAs6
3Ev1bVd1KK89kCfGo9j4BUZRCPeLzOQrOhjN1r50lokxc5TmqfCgQMhKZb8K2NnTyXPi/ku8+D7s
DaTWX2PSuDLDcsJLoGBMmiWT0Gx4yHIEnBlIJPGEUTsYWi64dQMWySurrcdDMbi5Li59v02X8CIC
VWbMXO1afZC9VNCZsoFhY9dg1nh2XDicq6Kd6VSfjnF4nDN7JEaer+NyTGPQ806EQtfH7+qd7kDQ
bukQ9exsyOIxy7ZrGq38lWwAcV06x205I24lQToGzn0SUbLRoKTZI2u8g9jPquOWh91iRDxzOlxP
kg1FaFlltqmTiooKovCvOjrtMfLJeuif4EtRyGKUnTAxm2p/DNeTuDLpYEO3xiQUYMY9+vXSlBrE
bIiWFyHoeA6IsBMm0LKVs+pmX2ZWlN5M7RIvzpfFiuZpvfAY4HnaMUPC6NF2Vd8kuxoxr+QFdn8f
P2IZoYrLNUstOBVjbo3YWUfMn8pFLl25yxavwFboS0p0RfhCmcD+qJpYzV/SSRocVJrwGi9c7MDa
KwcU7PLcxkU1bVd/letF0vZy/UhotSrromsib86uFwrNKtvpolmL51mh6vXZiStR7xEawLqF4jLE
+m6TiKHDNxv5mKF5yCq1+qgElzILL6l7WxAwonVZin3fzO5XDD5n58qqe5V/y3tH0E1Au/cC6Wjw
s9c4lI3+1dqP1vhY0ZGL76GumHXZ1ZijRVA1CPB+xNjtJhHoaki2OxfIik/OUhatEQ5kx8IDvmpR
M95xTLpx9s6kZvGFLea+rqmRMXIEj4FPmxdzJVuUt16quvXbKeM6RdmEASbqORYJjvmKJWNz4LpD
SlaZRC0BfIDVh4VoaTMAoNumbR0wKZEfNol6wvM2u+P8R/PcfJpzXFXzslJuRA0fk+aLDPBl8fWY
chfxakLNU5x7WhKBN5qwWiGLwqy1IEfbnykboJo6LhlWEotr3vthlWE7LUjzDujwbFBznEY2bQdH
NJSA+vEUjpjQOsuV2S26YtX5LeIXYY4zNa7v7aay7Ka6DsYVPv9uSWazZZzUFSwSBC4fgfdm8Rew
REwyE9ukkq0qBCwAexA4ogEF4A03RlQ1Zs0UGU7pP9iXSrYuTDhFtC/UnM1wRpp5Kj+ypLCb2gB1
1DZsLw+kyFXsLtV0xwtsp7ukaMIVt3FbrjblE1+t9h705dy9yCgauhdiiSH/loZK5c/oSdpMw04v
ff6tz5EuQicUolIHjS/wtTsga22bfAqBYIN7WhHSXr60CEBxvzPUFP8lB0KSoUrVIZBCsr7YZhPE
JNLs30072oJZ/lo8CujlNzjr1iAc802BibtpCKjZZiPVRAzERirz+AZzde3f4TRlToJZODWv6rSH
seJCyhNpN0oinAz5Y1ysCi+O8o3wtFVW7xGfUbww/3gODbasuJ3yGM5rW5psI14CY40YIa68PnuW
w6LYtSwJd939cUibohPD3hRmDhTCowziT87g64sFDa4MTSimjnOLDIOZfJmyG47vaiCijjdOh6tR
dqH8tuu4GJ29Rm1nOBowDpDijZmY8wk8SBG4jKh5VAuTp0HvO4o2zhAVbbRbjjWAyq6pmOAbRxJt
wWRbbpDbckN/C8MGqVc4lKP9aW0zhMoAWrb+XZC1DsOGnUcyfQT0P4wfT2eqDbOOtSgngJ5oFCP7
u3zDAV6JYS8Bc5lBAxTPWE/0RXhsQm4zTHE6W+zMls0qhw2DKEi75Qg0p6YWztJzakqXYvA2sJyK
wbAzLboeFuJcDvV+jmRsdfzBgETczQnaSDPWRBoUIApuSJ9qedRhiRz6PjDL/pQsJmPckVJUg49P
1oa0Mpy9XaZGBI1ZoIuPLRJMtJAwGfdithPdeQiibADBUBG7zBwE7RBW6qXvwdfQTZg4m2LMzZc6
bLgninkKCxDmUAq3dqMBcPAICVRCAvwKrhHJSiPNN0j1w2F4lwXZWPVquxwralkxBvKWcW/au7Kn
3veCInsCDcQT83rnps405lsZoVDrfHrtKPyvcQreCAT8HyL7OwGdlT8BSkZM4A3b//HrNwBM/+H5
v/76iXXgS0j7LlxxENAA8aAd/Mk6MP/k8aPISHcID5Dsn6wDEfybbiEkdRfZU+kLSff4xDow/yTo
kNk00YMAbdTgv6EdnPdVPSCe6Mva4FBfe72e6RT+BVcEndcPVmbxbu0j6wJhxkup6mgTDtMPhOI3
3fTRZ5va5nL6nVDvKhKZfWWt7R31AFLUVd9CtnXeSVseoHS577z+838/5f7/xCPuxxcUr/TLv959
bbt/HYb6+9ce0Yb/A1oS4Hh+Nr2e6qx/+f6vx/5r/9K9mWfm7/6YZ/6/I/CLQFSBEtAJNDyVI7uF
FuC/PeEw++hLeC44sj+nWSD+Da4Jryawlvhn/meOhf8GXQR0PxJOgNiK81/NMTNZ/wInMFcEhArs
EEQvqKXwHBZTilzXYiq8l1DEpgjvHKs0dovi5rOHfGLx1bW0MZJWS7e4OyIYL0WlvIntb0mtXXbo
xpmL4DpKvWXYQbWr1SV9zbJ7h9BUa0ErKKiWf/MoDnPUWiRNsBETWC7iJZibZXgoUzpaBG9eG/9+
rJYkx3oqFBH4wlu39XR1nwq7n+pdUnq6aDcNMIfqViAwxi0nFRbwNzTjydEgKZgT+i+v9P2xxf1X
ZYm3jWIAxmwDYIx9ABW8Pjoab9chDbzMkCbDF6KxOleXfeWW7iW6j50OLtcugXyzXbO2zH6Upiwa
/wK5dAbR5foBLCcQZeCreFN/Y2vgpBt2YHey7yc5tP6ogxdFjoXGl57RQsTK8ugxZ7nsAPX7yZWm
qowmFU3H696Hz42SfmMKf3eRF5pK8M/HyGA8/gMOAPUhjQY2U4gNEHTAuSoyLHPLSbW0vvuWRngL
pcIgCRRCd24vbYpFiA1+KUhe+6ufX/fs3ZjrGtCJY0BnaH6cXxdNV4yeLBl+N8RmNBzQBC2731I3
djB7oHIxZPc1Ncm+36RpA+boF2iNt4gl89iBGxJfQXTiuGANvZ0aAG4p3iIy+d2iK6vk1puAesPY
MKKxzZoF5V1miUYASlTL8Fh0to2rUZeS2dm/uBN2hLcvgGgZ8oQ5NHxGQxrc0F8Oi97P7Hwp6vj3
OFqJTC4wJqZ2sbeQUkUObAn1zFv5+dj//eGBGiL3DnQ8wk35HBCSBmlc5outv6MsySo/LMJfRXFA
Lg9i6z4LY9f/omFzOAhy+pyXXzDAHXW0H7PGbqdfTIQz0BavwotoRr4uVNR2IFq9HYAkWnOy/976
lmY6qKzLGcIIpoukaWnXbIeJJBlEKjgAp93MEYcu2muYeQyPFY6yC2qNQtePUZUatW3lNdoBQZDV
3befj9lbrBSsFiFRySc+oA0rWC1ne8kwxdDdEQv+RjNdMwnsoaDevrfnSaIiO4O9sB5btB7Moumn
xnyBcjT8t4MljBIRNhmQ0mA1/g36FCqn65fOb77RaHntvrB7EduPi91jknfs0WFyRWcNNLPpmGlg
eQbaYFEzoUuRstuanf8V7QN9sBxv3Llom+oX28oZxcOMF4MEUAYzR94wcJ+3bxWMTN1imSS/dTF1
/ArVuq4tqQ6vfdbW2+nY1reCylTVmkVV5A9hsS7WIw2n+KqLdJnDAVhXSolQQExH+VTIGuh6lA9Q
mJO12p66Ao6VG3zIKbek0msauj9//2egM3YqUMER0vnAZT3iu3PdfmYm0Nh6bL8EXuOh3t5CSmAq
xshkGrHQNTCapGSkr7tnObj82/C6nbQiNm5K80T2AjJxwlDkVwvaPd/FcU4hGPEiAfnplWD0drQL
8s8qTpv2S6tZRWqPBVrovnNESm9HdoMpcUa4vmB/mc4L8gJDqieVbtnwJ/8hUWtsXeoKwO+ztgZg
MWHmmwBhdkdT7Svg7fF6mg7zm2KzjBRlHlqAFdR9S99AyE78PirbJsFs6si0x46uoWE1m5qJ9PKF
L91qm4IWXH9s9fxgMB2dYk4yAgz1enk0uQ0yLzw2GhuCB+48s2oTG2CoQ1Vz7mjttodoBCPxSDd+
7W/JPmPQpvTIHCM7gcPJZeJyuH6uwzp2n0d7FEyyYy14pBlCYvjzuXG+hTP6oCcRFpNQmTw8Ld6O
voyXOiGxL79Qs++08ROxg7ZDVCRvyisQSBMbxc+veL4bkQ3BTIVbTVTK2X1+xU7bNLRxr/os18FM
xmlwzfbndAEq8Ad/pF/5BfWIlUlItaPvkndgd42M+89vw4Szbw4vCQDPoaHkeI4NQPsc1LpSC1FW
5FfPlQt5TW56pAGsF/SXjH0ssjG12Os4aLL3lIIMEqJNvSbZJ2HvoFQONwOPKChmibop49B/nKUu
w4X8SFA271GQyrbIUs3NDZOIbkluU9FsNy6VGLPYU5t52IxYf8srqGymO16MEA7uoQ0EuLnKQkuq
dj9/4vN9LaRaDBzdPDVPK8kJ3r5r5IrSelJd8DQOtUGU0Ch3CGLH1cxblyDLvUzFq3ndfGwaJcf6
I7IHpncuhxw55ceYoij36yjU8ClvtI4BCKBFb2okqhxbyk4riv6suniqTOlcLCHQPx0IFB5+MXvP
jDGgx0PzNrmq7/EGAaOdbdWKtBPZ8Np5CvtUsrb6NjE30FvS4KKO6xgimmkJn2pI7JVmS9EtRqFf
rVQQxosZ80u1oX8CvKyMcopdppPNj9QyYY9FLZ7fylJpHvEIcCisQMtDG+pRdtuF84LH/fnbIqd6
Mz95NPDNLpRQGB0erMuzR+vnQgTl0CxPJ7Ar5UCmFuXCrPm9t8PCMVIiDWDcwKnN+VhZjeCFzH5V
UhZbK1/0CfU4a5ieiFIN8mIKcsnsk+NK1lLTyWCKuVNpukLdwLb5R62qJyLhfdM+sdnkyLFMa6xK
XIbiVBnDdi5nSaSRY7CWx/ExW2FBXeTPusk/ZEFnazQkXCC6Qn4Q2DRUivNQF70a119w0vk4VkHD
7nAMb500nJFzJ7PEAuBX28LZcWQuCbwMpizHEtyE88QLeg4hZDsHH7tBMEMocBrZYM5+xsfNW7fx
9vFkwSRBA16aAl85xrQNkOA0+/2k8RR9H1DNjXEs6V0KxWQhDvCBsuG35grAAwjvmoPq9NoSNRnj
ihn/TdYKq8i8jgSnGYb+pKEbLXlEwbmpGu7EKwqy5MLvTZ7689F2X/lqf8moeHhzCLBJCENF+FtG
RTjYWYk9Lx/TdPGRHOtfHRnjyY7zO99ZXb3sVar9FkwZHFNsHDXlcnUNvFbO3qYl2rFudGKMH2MY
KEhZTc2c/I4cj305YV3g7wpIgOV3Ny9X/VCBvNJfp1eHSXcUxm4yzOvIa+l1S7cbDhOeeOOdVmkM
/8Kv7ErcSluLCH02o66Xz5R/YrQDQkVdNj2aXSZzMbIYxlUbI0zkeXOj4eWIwX2kdUrPZWtDUpvo
1kdTKmLiN4CAV30KObDcBojsrCtpLVOxvZqLJR426tWvEwGyRIJgsOb14+Q3TvY8uGUS76TbO2JL
v83Yf/oJCLYdCO+poHZcJpdQKdCvfzUORYPLti/EJFLnkFhdmNr7lm6M+7R4Y1JYT1Fjz/PHuZ9l
/46eTW09cGIEw3dP+75+Am2f1FijNI1Iuw/0+cviIoYYOx/Wxg0rDLwLUFLpNtBrh/SuqPKw/p4e
DVeZKrivRsYxzd4W5dSJ/BKpHYVZK3mAsW6NK6sANyoCC8vV0W+R8Elf0rCWPaM8Q8HS7rtVNiNT
ehXIeaZ/aEHXtdu2yCcAJ0pLGhG4wCdwVpIeW5jJA9KVHWK3mgbvIa4dqa783E2T8MBc8VFUbsfV
WA+VSIRMEfVu10fxO431mi9XtCetNLuY6I/7DSZ5E9aAu9H0dX/DEZUe4BWTY7Li7SQJW8AKtcC7
ok2/0DD1743SLl/64w+tLCv5t5Pb99p02KqsgzLyz7mvWyPNPltWEGyX3MNP4eIkyeu5ozkXbc/K
eJxEehwqXzHbhPaNES5qQsn9MrVTG7zPYyufSuxwpeW0V8WwROF47+cSzPNGRZGJqgPde2nxHCQA
BNcbvEUAVNAvUGzZ79i1Verd0KbUQXkrMpWJ8j1ywHkY76ecjQCFz0wYW2G2LHNLy2iVtrO3k3TJ
1A5f9VyHNE1ty6t/A9lMM/NQ0XWNnoaEBhuItiBgZPGHzDhBtgifmA/h/glZNkpFJqan28bTb9tU
1NI/AGg1IybLvuBL06W99XgyeXGPGsPR1BtzgLUm3rjoI13xe+3xUVMMfvFwUjncNGxTcCLnahj4
kmTWIjOvB/gL9OpPopwFv4hIf04tyRqQNncurboIU/dFKRIadcCLlkhrOwG6DNQ2Q6JvAHneuIMa
niEcDbh90qlO1+YiRTNZzO/CPDC3nLkRfiOPPjOLK0j+SX2D4mEmmK/xZRuvjzZSZVSZoRlRgwnB
EPWhmrgHgwXGJeb0PFpL3B4ouKX8zJvbxn8sPOx70YfCxISPb4NUMBan2ROvHcDRXUAfk3+L++V1
MAZmDSYKxxg38tZXSwVpbHXQrtPW42moreOv/zHIx9+jUuAU7wKnrbgBcHbp+A3XljbTF1kNOW5G
lmeduVbiIBlgP5KAJ020oQ2ID++2WceeqUbmPejkqhbREmPcXaT0re4joByMEsDj0mhCt9TYNMqp
Mh6RV7MXE/QmleeYNRrQq/52kstvEHnlCdXxmQAUkKNtWzwCJmEESg3oyD6+2uP0wMC8ZHxwcOEv
9t7RT2L2l5R5mhzdmE6a+wim20H6tOJ8NPTXPKk0w3ucSOtAX5D425HmU6B+dlxHotXE7Or61Ny6
8zqg1joZC4ymlI0b7FEdrYv8aqXdMbcXCSIc/PUE+I81HYFBo/LRTbzfbAwcPD1wPmP6dB4RKw+v
R4Lde8TLjCEACiHmizsC82BE6B/zK9XqmWGqBzjf09NQIhyYHeok5HNTJUUiLws4XQL31eNcyXJc
noOL05ADJtfczoy+PB/CCdBw8bzNDL5gFOAx7CciNywosaSBJITzAPaUXNwDgUvK1JcttU2EZ03l
hteUDldBk5jlPHC+8rNiGSDUHAqCxXm5hmRBh/8Sor5docIauWU1bgCeUjYUkRj4/bRXHV8IGr3y
Ds8W/k9LnyKaZ0+CUpGill/ejUUfUxSYNGqvVyJFWPHZr2ODUIjhNzEz8JD1KRLP4IjYYUKdlkO4
L1GT5Fdmq4amd4U0hV7nz7Y/5+w3Jy+KUzk578tUY/eRluS7vy9u50p5idsDw3EhX1+xakJj/9zh
gB2vzzIN4RA9KTmlk38JFMU8OtrDHUMEc24teKIimTpv76+2Ma/rtWuGD1SimTXUq8wUP9ZPww5x
D3sjBsc8b59hyGttNBOc30fvwOM73LqpK0euU9AXo2Sx+NiWgN/hN9BXMDns6MGVezwVWTBUR3uR
9pTSsXOVxGrlM9Zj6S0mLadqSPe3oF6Kwy2pL7CkwhgtI+FOHnriA+B/Be4VcUb831Ej9KHdiDsw
3MbwnVwPTvolAvamVOCgJkstPi+BhXo3SETwlJ8nwrPYujYqnTq7iyTGfmguvbrTgImUfv/BpYy1
xPsZ+PWCnN/UwkXcUboQvrsJKAL5X9wE/iysIc5qXj6+VQg5ovtXmWOj8mIz5siw0lncHUcSIw4q
0TKzIZJdT6tXxcGHYh0mtOsJpqkqrK2K/C/st8wva2pXRgBirXmGuK1xezuQXpoqFVgfU82lv9NM
7Zf/x96ZbNdtpNn6VWrVHLnQN4Ma1MHp2IoiRVrSBEuUZPRAoAl0T19fEHBapH2lylt3dFflwHLK
5DnoIhDx/3t/2w1mqCrP9lS4xa2LRH2OjrYJfl37fUyNbIoOvNFIboD7TP1bIzTd8NonKpJj3n/Q
4yYDRRA5M+msUCxY2zTfAJINjfmpi3xKE6c2Rx0awM0kA+dpsaUJ1kLydpjY7BtGzZoSAkWAX5On
vMwCEEv8peYNO2+kM0W8/Xom671sREaBOHQcS0kNopfpZsuGCeZYzSas/tXgTbtS/QSxrFyzKDPV
3zmGrvETBLGqH4wsqhPlgZ276m2kRSQYyuRh99Ht0s+GOGQMVDUqg1L9l+2RZU3JTAT+Tv2ntR6u
plMtDttpbsmNN8xW9+9kgt6e+DU05dzoeYlILh3XgO5YW1Q5sFM+/AatZqcypZDjaA8wXDhY6pbq
yHOs2gyK9YucliTMBwiI3Ox1x4bZYfGg6FZC2lBnXiYsJLnqkxu60TwNWtGoImTXIvix92VcIoFD
2OqSdUDCm+Cc+5Eu3kCAbczLHQLWxHcQUagOS74MOOhVvEfw80k1yAV5kgzJCnIjz6QXLcTtYdLp
qrI8JFnBaDyuF4Q6sJr0cnJH+Vy7M7TsKjEt6LK/KHy92dArID/9Vmh+TG4upP83G/qkd1mc5sJ8
SAhi4qi9OJ4YDSN2kNtGs9UIKgYKL8luSBt17L/Y3b2uJ6ivh1eIjABgiMH3v+kCtJIo57HzKFWt
U2NGDVhdf7o7xS+IgW+aNIwmHXs230XJin++hZOMft4o4lz1xzOi47qsw0ZEtv2OJAP1dGO2VzdV
phl3uLZbm1u2TY4/P+3XJQR0ETw/KjDXd2mH85ybr4tepF6gD2LoPQR01dzPKVwSpuiu8z2yl0l/
/uV1/usXmkFA4QBMCKQ7aC+vvzBPcHkUpR7dN2SduJ8xBgX9hYeSQpU1X0b2z0/wLUqBM6R2C7LI
MH0IjfbbQuYEeiiu+sK932YMEoZU0X52ya92sGUjwz1mIlra93K0wIOVslLzudUyNWjdYvM++sUR
vX7SueYBfVnFdwA+YVOie1NohFypjQCGmnuM42pQjazrGOOTBH0F9MkfUm4BTsqZkRlYvBxYWoCw
5Y9MWI1EJduwsz86pVWTyjcxtcwhU33DjzM+IuM2nS32k+G49rPEOs3+/CTe3kZunK1bukPHxADq
+bb0hA+PVIdJG27RIaqZaXlZCInOqeT7WQM29gsK3N99n6NzI9X/EEi/uWYern9usC5vt9feFCfk
zuu4QlC8tV0a/0ulNZI8DJhqVBaZuBmqf5kOyEugEj2kGa8btQpmkazuhpcXjItqTXn7+QVV88uf
tSXqswHtJ5sRiB7FpqL5ZvojVW6CR+/kZ2JT29wJvbL0rM9b8PC/+lXcOkAVcIHY6cPHej0Ey8gs
Z0lO1nldigwO1RGeIxNu8q9a4G96a3w6Co2AZjxXkX0AM+vr76r0PomySQRf9Ywy9TasoLmppWJr
lWo7OfoDiGG9tFvTwzRasAvcFYtudGFvVZP3mI06k+DPL8EmEfnhglPD5BIECHdeBANgi14fma7T
L/LSpDu1i4la9WCiQ+YWS902Zf17t1Q02kO4regTCaOIsHC7u96Je6O8YhWB/CwOcbpRkbo2bWoi
+l2J0y+uzzNrFqe+jaY0N6Y5JECuY/nUELodH1qQo1VzKAu5mJj2a93tyr3fOpQAr62JhGr3Llj7
jLBwBs16F1Wl0Uw3eZwMAVIeSXCLQa2GIFvrzAYILse+0DLBLL0tnDyNX0uI7BvVmoadg89LjAQ1
ptd1C5S/XM0xKYn0DNmyquXJOOCS1M7Ipdm/VKbkcrP0c6V3a5Epxgdo68xMRin1np0ufGNJMZAD
V1x2VQd7Mt27wisyufujFNPwOk922wLrZQjR8Ru5vpDV1eLCawYqXux5cteEQ1XzlWXObme41Omi
pHFYTKUCCNBnKLLi0WI5Hli37twj1b7IXF1TRYpuwCETbgFmwTh3VrNPcllSDqYy5NH92GVoyiGC
4paNR510AOAejnkXNIHwYL03pHU1H5wZJ3f9gT6I6rSxNtVN97bu4ee5H1JBFTze85wjczgmbWMY
WVgaLIZ/n9kSd/6l406j+dlwprn3bynnReJ9FQRZbh6yqkOSuxNMaBMO0B49t3moaoTE/h616dIS
Q6BRMRlIp8UG44ezPUfjNa4onGY72uRjyi4/IN04nNJEJxBDR8D67OplPpPpa7MRwHzkYTX8iKXf
1+TOX1uB2xzZ0KeP3Wu/5H2SHaukcKF6b+s/CvJqlzoTt8Yf66NRvKxSK6/I2Uq2AUodclJa3S0N
ZtgY8Ek4mXlu4pnShgBoOmLdB0GsKJHXqaPcTnE8Pjhz6mR79NfRKYXSf1Ya94uynYYzFZYaj7Rr
hsBuE1TQhLdQyx7aDxEP9dmOnbrbMfqS56wVxcdYT9GvBzgrUEoT28ImnFKXWTlXvtA/1znDEQur
ew2TXezRwyfcXV1rMUtP9iHD3ftuyYpeP7Cm6A/kU1oEp3du+TUR8gENqrjCaRdflUPXH5zOhimC
x/I8YHnYJ8Hov/dEAqQrFem3tGuiPUEvypNQVXuU7M2lv5jlccZ/2e7Iu7D5aH8mNC2rPKTZQ3fh
s098JsROntBjRN8akBynHP7lspuDzDkmmV4/CNSsyw4pckMohVXHj+O0+F9IJXMoMcjyw+ib6UE3
e/0SckmS7mpNs65tyodH3HbV9w425XuKmgCkk94Kvhm0oNhnGcK4H8wsSY/EWWgHoyv7+26wKYQw
Fey7eZKXVteS2eGUox9GXhAl/sd0MIP5AmWE/NqZdmbgdRKY++IU/PBuIN3pu987HnjHSGsvSxyF
zt42+uz9NFg5+7cSk2fXG00Y+Un9Rc86cT2BpbnqCBhQ9jgVuGPHw3g5scy+0b18gBtfa5dpbiXm
ngSP4psxjuBsl8U3EmLdhfYJStr4vdG0iZxNY/nSdVltonQQyBrxZ/PkJoUgIseoSTIUy5hPl66M
m3iHmSG9nQ2PiZitXjjggLMubR9cwmU7Ne0RvqN55RB1jnPNeXLG+asuo+jWNhg+QyeBPnoNeRnx
BKxkT+qEdbC9vrqFJ9x+mmEqHTOdtjv2IJmjzchDDz8jGQvSsr/QMYfiTxTsCRMI0BO97N9PRpW/
78iJJ1+o7+PHJpmbj+0E5HkHunwKIwMn3I6cmIJOsE8tkIE3JUtoT/54F5hdUoQVvqAvGeHzO5pP
5VNVp81OiMF4H9DcuBAwM0LZ6hE0xcr+0hHzcp3Rhxhoh+ANoRiFrF5CcZpjGV+7vgbNAt5B8KXF
eqjvYfmwjoJg3ty5o5sfmehdnAsY/8+9QW4E+iE0J2PSPpp1JU4DDMMTVAr3S2tFjyP798elwVt2
agROXhw48feZC3JK4G3KA8vT+aFvAwfZvt3QSc4JvtaTYbgg9UKcGtbHxi72uuAxgMr4jDHb+pC1
Uf08LMPyXfKA74mdMG+wEVonojnNfYMH9IF1LziDkdgire3yz4tKu7FI/0AxRpn7Npl1RT2amJH0
LPWpUzm5e0Y8HoWiq7JT7sj2Ec2ZxfEP5qWhV9Yxc63uE/XC5i4gKfhszEXwUJbtckUAZXOYPKZc
tudlelvZOmx3aROk1kXthxaw3VeVrQKCupmHWzw+DB5qbe8Mq5dXU+uNF1C0rZp6kl+dIiIT8PG6
KD8pxwQXi9ZG11GUtO/BTSSPPiWdT83i9x944cdnBpt3sxhaj7bKTY9FEDnXdN4JAevLoMDUOVcq
6Iss9yXW6ruc1sAd5hnRhChW9GM7ElMiemnHCuKzXLeBLa8QUGGL1sr6Q2wtAbnlMWZfy8v9s0Ev
MgRta7/zh9iiY9Bq37QIj7t+PTs20JRwhuBrAumRlNr9a3KxB68/6HWbE/xZBCK6HjUR31H9KW41
e67INmu/8DvAwvvUeOpKVjCZ9LLbKciQhTrCSC+DWpifpRbJMSySUb9BgiQfU3MYmlNiFpZN1Inh
XdlR3frYicsKWnviiz39ZXvZAUcf936wgHwj5wnmRmlF1W2toUO4mrXG41q7+ti3100w0IAygEaM
F5XdlO+sydbee1WQihBCQlIfkkC091mMcQRcRj0nV2Wa1+lewx6LUjOKDO3kDV233M8+EUXJSS09
9H3QkFpdk5wu6jHOL3NqBW0RGh4rl9ApZTTcUMXJutDCLfZhhFk143ctXJW2FRn70WCJeNVTIOif
gBUtPi4vQK09cIWdHlfInc5D73qXjjkR7vJhsebIHHbz1JAWcmky2ekXvk2n4tRAEYGWMnSOfAi0
OAeJZ8ZFAGNWi+IiDzU7mB5SCzXPzkzs4n09G9pyGtkAZ6HuNaZ+PQbZVIVmS3/hxiuYTvcI95Z9
TcXtMsOYGwJHyy97bZ667F0xay5hOlx+EEDlnvpRmSv1mCAk7R3exMwnqNzNXHDclexqxgOu0wYf
POjCg23IIrnOE5G5u7Ki/BwuPfbHnVXONKTgt+fnKgVZc4hHZ7zJU8q3+wxn3Vmlo/h76NOJR6ku
a42LPG7JqhPS8WAIjHTl3d7sbzUnmDDtZ0Td7Dw7tygRUkt8IvKn/TYELE2sVszmqcaMbh1iDJ8S
U7c7JeRHoxlAIoe3OHHvZzgUHgsz6c9pETKT9vwAdlg8fl+ZhBrfPSSiEDsHc9aEDa0k8yA5CHOq
HefG0AZXPtJkLqNz1vj2l3gYPi8LiTtxIj7jsXSyHduE8mFEc3KI/Kg94ZtudCYJt6Ut5y1XxWwW
t62VyiMxO0EoyEkSO/wtOnbG0ikf2qpw923rzjvpQ9PZtUNffu3jaDl6NemmTTxFN3Q+fT0k1HVs
9gTWTPZd0CXWg4ewqd2nAzUongceGBA66fjNUIFNoiGS4tB5XnwNLbV+kE3Xxwc5YfK6oJodA1ck
OeoCRGCzx/RXHPMmctgd68Yh6JP6Ko8c7cbMJ/vKFDRT67ijqR6wLdqbZjR8qaQnT8tkEm5HhEhR
7vVgaLqDgLF0i65x7C9EOxJ20436FDZ5nEFR6QaBD7CM0LYi1JQXncvJHTB3GQ9L1KbfyHgsmlNG
32/fMigJMZrz9pa3PC//1M3JhsxYX3AI0T1vnfQovQBjbSWSpyyNjc9UBKcjYqLgVBPGdfSEl91p
GaH3BK0lH/WqfCwyFGoxG7ejZ0bZp3okE2rnWHX9ydKj9lKCDZ1wrk2w2VKKtpeRMDnpWKfynk5D
yCbcepexLbkcRiP9mieW9zmPYuNjbljj9UBHee+IBsw/pewnmgJmruY0ghbhfTU3MHwUqovJUT2E
9lc7V5v0uSrVW3syu+eawOb0AMmRBi1F7tq9qJwqrcOuTaeeHthSU8T0xswIrYJ5ZOfiXHZuCtGZ
z0kCI2JnFhyDigtL/DDnc0PKcjwTySycC/LpTA/KGgLTlrVWHl+Wou5/E+zakjAXlqV/5sVL5B3w
nXE4Y2V3973ItHPaOOaj0jMcjYXoKbypmnjnOHgC5eALXg/sPI+1jFBp1ZFjXdNSbK/EjNiFXDiW
NNdTJ8VzbvZYajvKn8MuHYrpa9/DaT4xKNmnSZIJ7G8D3TT84tkwHKpssC4pnsdIudJpYTGPnPU7
CK4hOpZe0l/ZM/u3ncZypN8XIGucg9aUaJH1ZXCeCEcvPnlimMCkWR0hAVqj38rRMx7o+vkBaiXW
cMSDjElxgovXXzL7VeNhapIkYykXsPREXaLVt1YyGlpI+Bx6p7nUHXFoxYDzAaUMDxEh9WWSEc96
jAeXFk+Zh1nOIq09qG3sEEZzk5qsqa0qWj5WnSRvGczq2O3ZVUQ5U1oA/xR3pyHjYj5puplV9jtX
WpG/yzG1W18K5KxaFQ4aSI3oSCMvn/SbPKndOgjZbU+22MklKV+COUfdwUVNX80nCBmVuQ1TYJij
Mr+a/YiSDnwpNmDirhioWllgL2MZyGMrRZN+jOPcxsk/MlRo7+ASsipiY6aGaJ5jzFqtupCJ1Mrf
u6abBueQoMsi4Npp6AE+RLpJT+gkEHD1gBBmG9rOXYaxiftga8i4JLGPkt7EgPye0/9eaoGncx27
DG4Q2R6T89FpHTN5WIvImlCNECjHqmRrEgMnroIACxGtYOZx6heMw8X7FtuRPrkn9N4L460xuiD9
JAVovASrKQU4jZ1tlI0urwim4/6JJGyr8a+BA+vTLTmh+myHMAtkk58Wum7cLV55gEaeLV9WQ7l3
ip7YvitLcnrLDrOdaRJa5XRWGT1YPfwt9wCFIkmtS11KsDboo9KeNQ57h7g5CuFnzMdaj70cddSN
iciMpbsImDHngNzMHmRr2nskXyiq20CFNw2ResmCzM64mgi0PgiYnXVA7aCqSf9k6ecfIq2AqbHr
hwgOw86wm8A+ePNi2Sf6keWT8GXxqKH66XfQ73QSGSVj54AKpvymVzmrLFT5SZsfarcLkv3Qop+Z
dovZ0BRdXImzGPX/ZZDGw52DavdMfTq9BrtiKaSOvMmMeS4PwioRkQ0BDWqhFQ8ZXAjvomEJ5+2s
SsyEplZjXp3aXic0dsLwX2EaGvJvYgGtwdRqE4nm8h6Ve2AO832XaiMY/lErDqxA2SFGmXCcU+va
fbmPSn961pZomsUOxnpj3Pt5mjv7Ma2qr61OY520sYGtQbVoA7uRNjNAFrcIt84QEPLhW6xNquLC
itokcA2q1BH/2BBpOJwNH9GQ2ZAXGSnG3gEnfXcGpO59Io3FpmDpRWZchxQUU0iQszd3t6Xv6nJv
6o7sPyLJaGNujkD9F6I1aUD2SMNE70Rx6zZm5w1lt2EdfjPRCJzIms29AzGqxaUWdzUSe+lg+kDz
JyCbhCbpaGA5nYBWmdYnJ/wU3BhvikmWRvN3Bi/eZKGkYPa8IKTg2YiC9xIUAue5iKMLruRu5mbv
7YAUBMI06/G7hqiK4mEm4muNabj7zOZyTN57WdmqVReksTMrGPeytT0nfWaKtOaTNdjZfT1a0Q3y
zfhb3BpceX9cJmR0kaQysizptBOpPj7iDJd3Y1sknAL2OrrWwHGZTb0SE0XuwN2jfOiRu0dor0HR
gsgsNDu/jZaNv9HJO/tc2VmGbLJ1Hpooro+9Wekf3bYzCJtDH0mY9IJzoFug+fnOfIvX00z3puxA
PeFMR7gfpEMwXMRui2quq4Db7EhdmjjcoFCSDXbDIbSL2TzSuaL/iz857fYxSBKmXg0fRrrrhYfs
EaJcw6KgmrsbSwp5HZsGDGrdiQUgUIQnH8bJ61FD9yDedqgUvM92Cx91V7IAf9fAk612nW/71Y41
9UwCRB4FyGTyhqRYXugZijDKJXdLSQVgt7hCuId8QPi3t/QyPSzNxO/EDjI/5Cyl2A+W+H3sEgAm
UTeFY+/Mnzxmi+EKNkgr9kUz+PdAKEiv7TWH0CQNrdGlVZo1ZMLIJG67yD3kS9EMfsqIgitNS8zn
uUjzy0kT3R0awixEm2Z+wa0DMKDqoMeCIO+yNvRGG0aSHOesI0TT76ODTFK/YP5treIqM8zZOfbu
6DwBehfTLZWr3KIYUJfzrhCl8SkNUGLsSgQitzXKF/3gjc7MpiAwcVs0ke6Uh9LIkg85icBjyHuT
VR3r831itY2vrpv7brRGytCWWUe3flFaHxvUH/FukMUnqyvrjy18th35ttQeUXoi4CKw1A6K9lNM
SHPM2mrSwDYvxk0rsR111F0+V7HULtqMQb1v09x718u+vuydBg9K6+XX1AW8sxbp/hMV49TjMYjd
Z2Eu1mGy9e5+aGfzIu8gkYXZ4I9qtaaXSHoqSjxe1/nnDgKVu18CjYVTmQbTqXLMobjHxQuUhuIW
uIUO1G0D0enA8sW4gnqaoFkcjY9JNE8fg6g3dgJ8HpZOJz+UfkG4A5rHve3Y/aPPcv9k2JHxXMMQ
+6jzK85Om7hwWBE+4gXybybEBycxKCycL78gnO7vhNRnMj0hphqMg+UuiKEt8TTY5Yn3QUvSlN9Z
e99DNMNvX4+N2f6WUezY+xMbFchn1bKbYP89aX5hP2SJZZORQlX/QojKoEWHAjS3rK+zpPoPzFlQ
D2qfeUHl5bCnN4+76iM72roU963d1bbzrs+Shlm+I08QzVTb4MtGvDDNWdnQa6ARWr+zZyQ+82k0
8ZCAa6v1qU8udJmU2XKBwHzuH6N0Gp2vTkVm1zmr/bK3w8hudXK+/cGxx5bJK0dlQ68N3UaGW98F
n9bDsWXZ6AMRCdvcbfXpQkKqRBjompNzhOM9+p/dCgxPv2tEXkwF85iT6M6edR76ib02u3GM0AYQ
8oBMmmU8aq8ZjzaDBnm97SBRTUT9XW+02ev2NFoREB46MYK4oJOaxjkqJhiFBs0NnsGGNkicxYve
vB8s6KYpefGT27ZPtT9GQ7anQeyz78PKlE7ZbZbVnQSDQ4Czaxx0YcmueZYk5Boz0PkYuC79Zpsl
2W4RCTPDOcJnnQUhFWt1JrYLfrs4JfE0eM1vUosX09mlkQ8qBOp/5bkTrKGODfNVNndR4YYTwSfe
cPx5e+51h5yuIQoQwraV5oA2Oe7M1705SmV+r+Ne+F7WQnmbhlXjYjlVS6O8I5VYIkkb9EnDgJFm
tOh+cQCv283qABAKYN4NaAAjQ38LIk+dGW8UoNZv+XoA5ao8KfOg4InTavpiqyrgf2EhH2bx/T/+
/WuN9Kqd77/HrHt/pDIYXPp/el7+wgr5T6batCho3v/JC1G/8QfGwfwH6baOw2qemE3fCXhQVowD
abv/UPoS7HSYoenxKgv/FlJq+P8gpApJMV5pFEf4pH9EOZA1SMsa0yWGMKQ6/xIuROFAfuwxo9/w
+QxVx8ajxP9eP8dLOVABIxUaOiXpy7R5f4OGWhxmUX+tg/7ZT/33bASMc2Lm4rIbVLCITTLuD1fs
b1xCbxUwyn+unMW0k1T0JxqK10dhQ2H0/NG394hY9SvpD5dUpugfZR8mrbtKM7aLCMOLHQUfaFbl
ePrF978ezS/+dw9bPgFIlAk9Ah5ef38wt8Jg14RuzaZWsScJxgoFMdvvRMmkuIv0pS93lmYsFBFJ
uxP71GdzvkNiOB7HoqKAX46ps6O7EwisxFmydxsWlsBIsRcVQmwxZ//SUPz/BqJS9WnF2PlxAJmW
4/Mk/p9H3S2k4eTf/lNlj3x9NfS239xGn4oI9gzLYQiaiIABl/xz9BmwUnwD9gNKN4YeI/bPgGDI
Jp5lWNS9ULuoqb2rZZ/8x797/6A7TRfdZbi4DkG1/xJG5a2BlaMxTMR8HsfAETIOXz91f2JUBgHV
5UzXKYbKTIeI+LmD8wNGpY7jBmzUCz+l9Sb0abytFcrOnzuVo7DaUf+gpdDmxzi9QnKnF0SmLDUF
9niNSElSW7237ZVx9n+LRXkjt/knl4QaD0l96G2s1yf9P+CSVOagsI7GkCuxfexh4fDe//AQ/d1E
pAb6n9Mhzwo3mFnIU9E01vpY/AjEQP7wGnGwwusRJDfGhVAchvTvOAdNDd4WyFk25HThaKl1uQwb
z0j+dK6vuAOoPY1+z8IFE+HPj/xN0Io68sDi4bRARLhIEMw3D9OfzAPSFuFfm0WeD+VRl4gF46Ob
NQpWvZEPCmR/mC4aFX/+tPEPFnbOyxNrxAQb3d+hD5zFUH4JzDeg9Tf0weqJzGzqYuntf4t84Lxe
5ijyAe85g7FrU4TmgVEz9w+EEhTa7QoX6EZlzGZdp+MSXuECZr/AGGqLEmcn1jX+feUMYMjxwE4U
PC20EvlkzL/JC+9HoOuk6Pk/wA0o3jXOa4+opuz3KdJhDFp+ze1crco/QQ7o0JngGnQbkXAZFSF9
AxDkNlX0PpQv8wB9a8UszJH5LE+vaQTRC0dBWDESvHCjEZgvWL/FtjiIoOrgLMgX9OE6qcS6ys4R
L5TUVzCCpiW9Yj8t2a+RBC/P2o+jaHPmq6Qa5jXr7U1brEH+v3Hm4xjBNJOlQUpReF4v2WDYXPSp
IohlBxTT92gNvKS8APRUCIiVHLr91YrqRgWhHDmrM3x8iWHIX7n1Z1MZsCHJ/poD9Zcn2LdpOb/k
mQOE4t/UE/7DE0yNF5dCFaW/bSqwzaIklm5QTibbWZDdeRNmWv2gu3rPH7LAxeCdGp81yM3osNjo
9xS/erSIeW8os6U5OmrX0YDfVI4j/K4YrfxeKmcTYeHExZzdMlfytKiUMZu1HEEO31PEkvbDYfMH
QjExZ/AXVWDp+V3mDsrHZ42l8p0leu3mN1DR1ZdXGsMmPlCU0vnkCaAtXze7faEMagPNmDbs8iIa
kkPp4o1OTyVdfGym8G1pqJ3AxGee/4y6qCPFdLMG1utnMntEOAQbgu/56IoyK7++CMEG8t2w5Oos
J5C5HIRNIZvvU6hFfqQRhs5BaKj/+BFXL9Qm3JW6OvZUSnWRykwq8fLPJ9o3gD22ewFTElpYV9kB
6AG+mZFoSQdJO03NPQAjgRoQwyapqdzIaUy6mwidV2fccko59p0gj/pleQwSrZV0e/xat8cr2D3S
n+4607E45GQB0JWGU4netDz4VfVytwqc+cOlkI2jdHFNtvBh8JLUif/8dF6vfMHOs9gme5ZNJIsQ
A2bB66dzolBD23vsn7ansyxMbPNfKM8rlniRVhNGpZrkZnyGVpM1mIB+fgBvFwRscFgG8fZiQYbk
nKN4fQTIWIdmTC33UT0cOJ9i3CfVQD5DUSw2HZuREltM1oVXk/R32XTIFapDmacaEpedxbCI+vcW
qTa2fhdVEjr4r46PbdirNYFCF9DE593MDoV/vDlAEEY29WgrfnRpNs7RB/xFyiTW0+bldkRWATz0
EqKnejihl8Y88NuwGSlJde0ThTdl70zSWA0ivKpqsaB0By/PtpYw6NAyKuPq9hhvFlQXnT8/Mg5J
zUfbXUy28oHeVzaJe1SNKFVOA8wa5IdcoQla7+Yj3byo+N6VWn82a67f2bfheHsnKWoMv/M0q4EV
WEJ5MeFrKWdmufq4N7f15rbdTNftMDGDEMrlJy3G2kaqsQcecOZT/PVThgaeAuLYPlNQqMnu1Mif
SDTgL7fHeiPaM587zfNUdw1fHumllmr2rpsC5XOt3QqjKvOXMkFXPBz8HW4lrPD7qDBdYy/xDxXp
t6keav5TBQyYeUaj/c692JyXreGq640qTX0iA0tyJOSUqHbbNutEY4T7aHOIr7ZTUm5JH3mYmr7A
cRe5o3IeT0ZjcDgzjTLnN4EiqhNHoqf6OTks6zVctHxRM+T6ZSMtDU7KR/nKaa/+VHs18pbryayu
Kir9Nr8FlvDFOLoa6culqLjRWbW4Fm5sWO4dF/LF7r56XN2sV7667QNxNBN+8U719/gtK4LyS6hP
QY+v3Il1Ot2OQ9aNehIiGzOd9jhoDhGZexf422Cd8gRlLo+Vz9oC33VLV7gHbmzW6ukyTIJQyHYx
leXm5+PKeeMx8nBkAKtgp8V0CjPaZr/343sRD182LriAn4I2n7hmm0tXa4i7xWw85Mp3PVaZcmHX
FZJ1CpAI+LmHrLOV6zYwfeX1tWoTdwUjAadrsNtenUFiqosiWnxUQAhe3MIebwzu7IwnMi+LcJa9
GsbTanhODYIq3Gvh0qftzhV2aSAGvks4Ai1aUzSevLLWd+H6tNS6pwb6+n8MS1cDoV6HhTHMBpNm
BguD49qeMSct6dFcbkNT98rKyr6m9MDbwA+315YxmcqObpUtveJ0/fXJ6JW3W/qi5Y92fd9v93Na
X8Aoun1GNqEPyl+O/F3NJNPS4Gnd+ySRTLCJxKBmCxQf6kSWulaDMgIXNvahn8yFbPe5Eam5YFsn
/Pxem6oa+sOCkNfKC+UHCiabXQXEfH2v/0L50SZb4VF8bVQV5BVjtC6gX7N+1o1t0iG1sIAn//dZ
PyslPhW+Ndxv7OWV+zPZHq1aeFwErKSDzs7u4ufn+uaxpoLEdgXfiq3zaqVK8GZ/i5XUDap8pods
MKOkIZFLI3+AbZ/5w6xKnTMm7Fs9IrHsVOUdV6FyVkN7VZbfnx+OKj2+uvQGph1GGUViZaZx9DfD
bMx6NDTIUR61qZuZ3yRAErXQWE3HqqpGGqgv1THGCGV5Lvpe76bxq1fipQ98/IVZCm2ePnQ5VsEV
YTRsS2KM7gjhotyTBlbNxUGG8YsJQrlbfnxmDLYPDpsXqpLUYdiNv35mLGGLYR7i+WH24PPkZwMT
i8+7rqfgzyqkXaLBKU6FXdtLfuEaqTILLEkmubw/v4R/uYJsPikH6eytsTh4b8s0vPL1RCz+8hCN
tPV7A7mYa3DbtMxmzfmYzG09sBT5+Ze+WZdRmWKpwdKMdHaKvebbYPplRrRKgo54SDRQEdXdXAmP
iRmNhMYf26RiVbIlAwMMibpvPz8ACh9vbwD8KgdAKu5m6sNUa17fgLHw6y4vA/FQJ1KtAq3eHJkh
EHDZMUeCXJGoMivqUtYvfl6/gBDil9UMFvgKPMP2l46NUCZQzAo1JeeabuU3IFZhNiQraQRY78tJ
rZ+fSX9hktI7g8pZSMydWkdsKwfXGNUEts2N20uuoGmkOSEnQdfjgJJT7QRM5C5ckxEWVPPsELzG
VN96aPLaPci3frkx7FmC3ogDX60cSBRVC6Je02rSD0lNdIwvBZHWvAS2zVW6IlU2VIq2Lg+2GT8b
MNo8d+2iFkBi3QEhHFC7IzfJFbQkN3T1uihzRy3eKvqVnIZRkQj0vL3pbPKzOMZtZzbB7mEWRzKu
JmUIqOrFkFcwGJojpvSGD+ENp2gT2yfHuMz5Hitm1Uzon9mrrwvWaxGteyQKQ1yMo2P1mWJnGJ76
Y/F6tePcjmhbBbx+dWlOrHZopIZyyzy06di2zReWCVtFJoCrhVRRjmvDimwrRtuq1PksSBG5vjT0
1EZ1Iwa1YlLcSqg5ag2X12SDjn/wTlxwE3wmZqWEXzDXzShoIfUi3n6dAHS1yKp4IXNcvifUSi1C
ncgXYYlTz2OZvOBq1iWXjq6I/8RiQK0mt4XgdgyEsqmnsqtctR7rJ7dgOVkIR61BDKgI6qW7bjg3
xlCatvYoPuljO1Kv3aXYQbjp2EDU35brso7ylFo+bZe/qbnN4FYi72Xr/fL8RyvSaDu9jVfjrYMI
UtnCve+X3BI9aRnsNzimPs5mOqowD9TrPZdu7E/XsklA1x0Hx3EZoO3K75kzGRD/Fcbk1/KjwEDU
wh9TgxoDpFdLvdmjhhh6BA4rBAWFyUw4OFwwJ/mAVpcNPTzBhIAY0tpLbFxBckIVnnKhEuwOXBrK
zmpxgwFVjTJ9fYiIKVC7VhpKamO0bSi9uFUP5rYH2m7khjCq1kWU7XjqGVyGWs0vcISCgefTmzV1
9C/OvJ9PbdZfZnRkYjq2a16LdHvMt8sRzUcoYfi5c59WZKjk56FjD9o/Zlanti5FLQ1F4Ki7qBr2
xHVNMvqK5SXtvMsN0kHCGnr4M0pTTQ77qjPS1P6+begJgXYyiCJxlPtVWLiS0OGTX5hql68DGuNi
OLmmXsXrdjVqpamWiyObUDiT28pgSCZ+PosTNZltoBA9LiYesq22oGeeugXxlC785FAA26EYgUkp
bX7T0ookwTNGfXAjj21DyTw///wi/uXtwBsBKi31WZ/uhfPS3PihrDVN5MP2/8XaeTXnbWVr+heh
CjncMgdRlmy33a0bVKuPjZwzfv0869uLcyRqhjpVMzdikfoCsLHDCm8I3PLXlPaL5QFXO1APY9iM
+MsWO0fJpVdeUOf5r264CY3z/Uvw32TmlCwI+OmSCnM+DDBd+P6EcvCz3rKwXn7dT/fgIIyrXOol
oJku2ZeROifFkJjA6xyJEByctRi1tkCSiaoLOw+Xhe2pz29Ec1J8Qc5CIpxtdvks3c2LaLmoZJrP
6oAoSsDmB+WS3Sbd3M0DqcAuRZJ0QPiHcl3hJcwCjMoOuaJ1ElFSVOHksNnr1pPihZpdhXsmTNRh
ts6SR9eVIgozFuBcu8d1Qs0D7NBa+fL9Gnap9YmGchV+ZXy4s9u1zUvR2JVfUSGUeTGV6cZ1vD/w
b/q1kKVRtUR1FT2K0KFk87ZmE65e4flg7j/riHf7MXXNlbX52OHclCusUlDauKeW/0n8BLn1R83Q
BZnOCEBJo5j0k4DxB3lUurIB/To4/zBkQ9d5EzEiVVpVwH6Gz1qZ06xxMVVEPavdOZBih++DVlo/
6BGke3s2eZL9quTZZjLKAF9iSe5MubIat5xtUNN9zZZetzpTxH1/rC/1xG/jYNoeFFIIxFy0LGXL
+n6SJ2DCz2At189aP9JK04z/+PA1MfXCds9XChRaPsrAV3F24msqR5tGFJo0D8Sc3OJruGAE4ixT
I+4qunZkkAnq+ZR1KqB152/diJJdcmXKwVp2Lvxc8vCR2IQfOngQA5BS+kXfXTloUbE2zDmn8WpR
tVKQrU0tWuUGl2FFne7s5tqfv+oTKIyqWLT3dnh/GuEwF2l43txTEwzXe3J92/5bE/TV1NJI9kX1
S3Pses9TuVPzUfrAPCNehrSY3AAwRAQb7rMaqb76QxzMBNw3i9NFUmTBG5gznPaxTFgtubz/aD2B
NXz3aAMUPEPoU0T6aDm83b9ymEilcw7rJ6QOJJTBAXXkO08wvQw5ALWdE1CHV+MVfX5IebZyViaD
qKpqXGS5m0SLCEhJOKb+erBlpBauJ+4BqMP6rZygaVLcik+R9tP4TocemwopnkEKJc7T+CQwdZC8
B7eGjnK9uJx6HaKOqEAU8Iwr7wFQrZxi7w/QDxK6pK3M+xAFH05pGaTv5/5/Cx5nWek248NmNzQB
vxM8XqpDZImzoGpiTBtdBOo/IlUqer5NTiDSwn8FOPaXqh7nRph16/KSXjtJJFSLaxU/ji7JcGFL
x2y8tBs3yt/hx8XxRSMutdCB+FWFhcMwo9+INCZHhXPpQ7YH+kZ/vz8AP8wQoyHsCNiMM5a29PcD
8H/REIbKE9h/LOHUrTyOBIYAgqmXpl+yBNh3Nf+/lYT3yzg4Y4HrXP6tnLCVkSP9DTEDv23VFF6N
97M2LrP/gajwZcv7dt0IVIg9iLIS4wIc4825/1bi1xk2ep/G7v2ME1GFR6GMpvBBNZBmrekT42kh
M4SmmrSAvxP9Vadl9ff9f1D9vXgToqhTMvtU8/6iRm1MhynCofVwg+gz0I0ZMUUuGu7FdPc/EgO+
HHffjxKJe2hH6IckbNwCqPm2wDpibhtQtwh/j/26QuUZahrdESBJskLmAYzudbMjrNnflZdWc2mM
zhDejOCwwJehRAaYkPkEZRuJ6usF0gI/3p/ib1EwVMlCwHHEbyxyL3A9CTS/CSTzbkdLvk/y340b
NDTZpLfvOgws7OBpHu0OseS0kgIgStfyOG0w3PtnWDGDa9/QbHAy/wrLwbP/F6YpghCJfWuIn/sp
nOYAk82jDT+O/rTxVnabjs2iXXEoebCwSkQb3PjMe5AJCVPcwQW4e2WWUTkj7dv/QqKct1H1k/s2
+t///XwIn7BciRC1IhPxAUm/Xds+QWuMcFb0SeXEECVdPTQcg17UUlqyxvDLnkUzvzTuLDqGxgsn
y3rRR3uVScPyWzRB2OQJIpFXRpLMJE2rQ6+S110yqCDdN35RhSnR6g2/ILbh8bcSyTNiy4IGMQKH
JcoPYJXdc5sQQZmNY8SyImEdXHOgitRTHI4cIo6RstS/6bG/lmdfMq9EDQ2nbHOlVr5c5NIQFOHd
aWYjO5fXhYjUNRAl+DaVbVFZTPU1ySg48qUL3opovqxBz/VY9SR5xA7sANLUHNNmwezEjM4WhShf
/wn7M458JGejDSRuHve4gT6URp8PwLZol6VznsDAqpoTpaHH0Jgk6NfBvob3Q6sbHbD2RnX9Iojr
vNI8E6wzJYrpinNYqg++fVHWbOFGcmF+BmpsvPaMUg/27PIS1QjcjCicft0CzY6PnJbaQ9hmraAx
+LdzfF7yaWT4GankBM7dPaQUXpAeqzFg8m/boKGPgT7uFAT9XQXKh6O+hv/Nw69OiIEUDHof6b9f
9YnMRvhvGxebEcM2SgZABbdSHj1XO07Txht23Hrk2itHpBwR8xWxoS5Ko6170A8zlky42cu9EkfL
CLte64ZfVGSL9qnU0bqgQzrQTEMrqx1uRp1LhgLtAXSbzaUiADEwyjr0+N9cJATNkFTpkfF/VjWG
WEiMEOLk3mhEy/WnC7dzQytUNK/gQkS8pId6xW/wkmymTXUUK/JAyMscjK9efxx3MuNVIVFFnvri
nPlMgNYjbyfkmQhjyxDZGUo/oq2nflSrdyT+NRYys/NBO1ENwH1ZEDNSYzPSqMEe3fOOuoCsdBbl
egcbzeMF5ZBX3IsKIb6/gXLisUN+t5FQxHBC6vyxKOVxK9/voG7qzMUQ78WnI6ca30TX1HWR3b6H
074NWAPU3tnYtx3l8vmg8rN3aXvTZf02Ordam1XFbC0gkdXQNXutDZkCqZZxEKuAjOteeRPuERvA
k4vOdGLnYEX2IAWuorrJZ3NKueg0eryBbYlGfh6lAaE1SZf0oE33qrdIkZGCxTJTOm7pIfXLxlql
46iJgkogj5Q0iI71UVKaxaj+vj2XNnIfupGmjDSML5WY1ATC+imeqcZpX7tcaqkCvpZGe0vuI/N6
imx3uxc0lH87KxH1bA2gQT5L9GeKtdox11wkQEJ1/OXsKXL4V3FaoWX6e0v6nqNo4pnCYodvV9eg
5LNiKXWN16iE5hqhT2eWWgUH83fp10KTdjoeOTH2cH/Mu8TlxrRMu2AfzZVpxK6tW7eE08k+ydPf
xhsH8ZkAIRYpfFN+ObCbW55R/pAKu2+qw99XHUscvyiEa3tah27Abp1wXgv0iiRwjcC0vqQ0OZRn
0rKZ5IN8Gp69pJA6WxLgOId3VYsrrnNTZwg8kHQlmARlt/ZFeRyDlktR9IIIUOhAbEA8768SUGdv
V0ki68MGyIG0LyfAm3DIz+dwqPc5+2U4PNkgKMthLviQRNQbkQ29iKFO0D3YSJHykl3srCkHv67+
0Qh86puHepaz2jTzVU+5HTth8ibUTzlbzXlrfpku6mEsbPnCJatm9tc8DZANDfNadM0OJ+tlI8O/
cRvvfO9EMOCubU9X1KvbfZ6Df2LrErGThP3CwfvijDn4vfYqJZ2XMRWeAZDBppTIIGk2OQf0kNwN
+cgInQEhbaWeZIWdnPKnUegdL9enIo8QQE8QQFUElGr/k34ObOSHZS+lAA/uwd/z3/XAyGYRZ308
9zNFu2jGyMVdHu26EJAQAjQtN+vmeNyHv3TQueWqIWFyRzXStByLSJqF3Jh4AQvOB30hqGgfgSww
fGPJ5h3/HdOUR4kclWaspWH1tigMgFIDLSWyzb+gPYJq3GFkAQVsgGTAua4DSyzoFpS3/xhN4BK0
jos0zFVf9RLq5OwSHEKZjddH8M/+qNIpeeGQyvjj6mTof7RX9E/qeL5Ck9auihEp8e2YIbuFzWL3
/7HWpikG0AbFjh5dXcVdDXV5osMCCfJqdpO9de4bQOXb8XB41ZxvX7BRD080E/zswOfqr8Jz17T+
h17QgmIS321hnsCgwb2U43zWcxBhvo6DDFY+VsMawWgQUTh+OScvS5FgMvCCsDUCRc90UzfM6a/6
1kurF6+MGkYyrzKfESOoGeLjEbGEJP8HfEvRgE5D9tXtMVimZUse83qjrfL5HEZQMx/TEI2b9akB
v8Vzx7RYpsYOL5UffblQo/6vbU3HZICZDsuLX01wiKF57jqPqIxQdyqv686iFfUiJU4+9MQPSGK/
i4xpdJ4tUQSuH0NWfDnsjj7YF7Rn5VniA4nk4lckjl0mq14LwmYdV21HMO3DX1Qv3bVT2f/DC02O
WSOK3WNX4oG3u1G6jsFVCl+cSaezG83SPBjzK317OyWyJYwB0QImnQX7ZXK7zKOU1OkLS3e+PEBp
EB6MsQSx2rIfvAMPvP9C9hM39as1n1YbbeeqQCMSvTWrPewPqYlY0ZUCboOamd86zZ+EWtLMadEn
JAbc181ndFYj+9ocObpF1w0cPnoRJrLTuXmCaDyC5QZ01MYzCjMW4vjHVEdYqv0aIwJdIsvlT2e0
/xmRFh39c7mvrIB72nXWFPxTrwWyLO0r0Z4SwcupK2Y+xbIcWQUJmvLcJv1Sm085SIuIWyrsoAgQ
R2qrIYRkI8T7uiHufsl6KwbSGdLqdpT5ksVrx7hUMTrTy1/B3O+8PYmIZ1GiNiAe38lOxCRrQjge
uAkV87hcZXl7k52R2F3TeJEdk5VXMEy+eK1yeM7QqbMXLL3kNzoEeeTfnGWfwOlttxxP+Ye4iuSu
lXZpla0EX8kl74A31/FfFNbYOUIb3T5AORGV9PEPnORHZojt9RMXlpjPSJtZvkYVSBPHcrkFo6lv
5u9p9jsHx0XmnIaKPAHJl+wSazTrAcEfdCZuF5YxFz5kyIWMf0RTLqFAcwBMt/rr/NzwMrnOp37P
2ej0Xve8Bv51iw6a7PKbUcvdQo4EbtKfhFva2TliwK/x6B6t3AIzyZIJhQsO62zmq5gKSD1L1N4b
nd51CwfrN8rll3zI+H3GiGJwr17TypX1pxW76WMJqzbz73xEKi+r7nJjlYlnZyxp+COhsvwfaoHi
IYDplPyYhlK2WmNxoBlDfnH3zF164Y+BUZ7HEB4p8o30nhtsV080P3nA2FZ8zMLGDS2e8GVpl/HC
u15THPBzzFKN3M3ZrarJJgM+w5zs2WwH7jTwrI3gvK4n3J0kjdgom/Nj8XKOnHZGHsK6yoyqsYrq
XpJweDySW7tLzWZ/cpPzY4HdBBfsYm/P4JsUSw/T1SSeu3lYPsE2O7Tmfvh9eFz3GGDlinKyX9gO
Hk2Tn+7/Njzf7UQ6IH1FBJn0w8y2sebAJuU1B/EyMlaivi3nD1R/LgmUm+SOmuJM5y4wH5Ow7QSD
3EB45hLdaKqmYt392MvJvhinhJnTl5e8H3u9gX8B4kF7BUcg2dUDARy/qWKWwHjs4zyaj9roHlo6
i8X96C3ZDsQDn6EBKSaFVuTGqCXyKZDZtwiXCUYAuxoQFjl+yRL+mo6pBuG0ZZdwea7oSPLC8dzE
oeYcRwl4y0uzHZibIATYgaV1M5VNQH+5Mr0IhXUMQyF4i/fvO3wTcYKeoT/mARqiQ/Yj1cmd42zJ
E395wYHI52qcJXcFWmpyjrVYEoxytD/x/jd/j51C9p1ugocKFyBLhI1JCb/PCKmFZUW1J9MHxU5l
FchV7MgMTBb1VNkJFmJI6UbC7hZIWubLXvj+dThvU9OAnYkriSI86cMgeHsh1VlGLuov9mNJbkw3
aUHEnlb0fCIlPd/YBq6F14iEjHPdzPxf4WSFdEdpnIo/K8gPacoOTo8C8C2Y/wuMjqYZA5qaXun7
1xx835WRziFlSBIFGUabPuebdLrYveJIz319aWgwMySIyQr4FB0M0MyfT9MdU5JFEXoytRBYHUmX
FEyCe5wsKXxfEBN77sfd5ocz+jHpoX9Y0rjpOCHZ9gy+lhyReppvWlN5ufuAKIZmly/1TPtJ0068
YdY56jH5RWX9KzMOE/DXLpyujeH0BRWEQRonylVw9sCc7eCCzykM2iqr4piEW2dhWB/0eTJo5kV+
3XtrNK4cEVCLMPoBKTt8tVMEQt1bBCbFUpCKi8DV1+q4pOLrgJ7ireZtBgtbsRsBlyUSuICVPIPj
QcJG2oHvP6mLNPe3hQ9g0HEElAOFCbbgH3AcQPVyUDdHgVP2BcXTm5sP89yPVsLhCtPzj8EIQoKh
MCATXfaKlK8MQ8Q2DbfTnwXGa+5Db1Gtnmp3lYbhT65fUs7vrp/yrwOV1AHeyEoJ36SkHiIRALzs
8UOIFA5HrkW6zorUHdCH14bRmcGXK/L3bHEqS66MnZNpASsi5yeX9nbvgl+OAyAVN5JlWLDOm6q8
ndr1ajGZPlQcGjLtqS3YOFWllY8zDvUsZoGb2zsPdTewnwytdMoz1bRcAiakXokl9LK3ugtYrxPE
SAw+YqdFrG0bVyFAzLFVsSu/f/lvr17cFLwA5iDq6QzwW46OWw+DgztO80ELpJ6J2gdz1sE4KggI
ByIgwqP3v/l7WIy06Fh1MN4SrEJsbAfe7LwVLAhgwVv/ocjLiA2rGcXE/vX760hCyyiZJCBNnVVK
0+9//w93jks0nH5aC9CXaZC92bzCgbgHGMr0BA1OdgDLnyUM0wMAq6hAAoEMMMPP4Bc/nPLQeBhs
jvjQpq+Nzdj3h06Oy3eK0dD4XLYZ+9lkV9kafVTDG78kfX0s/EurweT4DKaEVdBAIn4Q4Yu2OmgZ
SbNUpN20q0GwDPxNWxJqPKIFek542WvNMJuEhpPMJjA2AZ8JOcm2G8Kq94f67SELCoZnDbQdEhhW
m/6bR03nGKMe1ymfEXYVn7N8p2gMa2+i4Aq63hAqzCYaBJWAE1HGdTkD3r8MyLlvtpGEY54uH8h6
phYcqjdrtWzrIzn9vH/a0G/lQo4ElsjXriEdBMZnjpUOigArMCTARAzo6qim0z2fNbqKTMWtrmM5
ahGZioiFwOMLCkF5dlo6zNA97v/0FsoNznUn2NavagSnlUal3hUzvs9gF5a6YE/Yo01KfmVvow/7
xBkj+cV4seUb0HDiKrewqHKH4x2sGi3tI5O5azepBGVnYAuS1rwe7WUZ6yzZBfjgLlHPNXpamDSB
VX3BFovGJW/W81bzI31SR1xPFJsVeBoZqgmS5Bx3GSAw5hNQgIoP1kP1MOOq5yh1TIlCFZSr6CJ9
JQWcYFyvPaLqZL7qzKnhDyl8zlvHSvfxcTYns6kcVmilMTDYucD8vKULK5VmhUNmJtjVAVX8hhrl
BTU7NqGFAXyeF4rQisUz7zYPZSB25jYMbWg3tXjvcp70A3Zr4DjNp59+HVQvpwF7GPpJCnKMp6TX
eSydkM80cNdKtbOQPkLAMeAjhQEprw2sacYbUOoWeLVCsEo8R/kj8qlE8fpCHWlb+vI4pPseBq3X
WbJIzYVuhyBCtzqfGGl1gZQIs3pROMzaxQJhoZbacZ9Wjgd3ca8lfq2SK1BK0wSNlrBClvjLbCx6
A6BvwPc9R1Mid6VBsg6Qhkn6NgWPDaYToWX8xdgvKuqqA5B7PiUb3kHHtVbhUeYUMtPc+QJ7bpEl
5GhctmH1H5odDEp3rU0NXYhZ2RId0sy85JimIVUb4Bm1BGSxr87UrQbsOS5EHsjDDKtumcrgOg0N
T+9wN7h8pYpR9JJ1zmjKpqR9mHgdk+I/J3SDc0VIvPK4xCY4UAR9ALOa7f0TEt6cLsiE1RujpUGK
jk8ZtAJgQnFU9hzFmun60lfSHev51tq1enbJ3sDKlEmoYH9diUoFNLe1mOhb+YSKydNHZWZ0c6bo
/F1PkQ3P8om6sEBmNaSjHgvVEDEkwTQhayqAfsWHvY6CAeh3huOm7ZbocHPHerba+Wg/6cDG1eiF
9zrZzfxRZLgGOUqHVHKWos03EykrH01XqkGYVQaFZT6qjgOxzU1XhI7x/szOkcewF1lUz9fQI6WX
UximXm6wYvo1OnEU4v+6fIwdLlFKx+NzayvlYRr8vhp1BuZU0JRYwXrNJa3IqjrhAWkXhvKm7Cqa
y1SXrVUR9wqhVOpAlXLo8HjN5mi2tzQJpJuX9YlsxeZY0tWCYfMkzbzZlga2h087+EVN7PHglGrQ
vAM/Xp8ABsp5inpcwUvOOmyYfUtDvz34lBUYQa6YezToLN/boSfHDLpccgrSbHFXlAeL0y85L8oV
7fIyoAR5PVAGkXVojsS82oSqrtSSxjD/6oO+pAthYU8r2lq1DcKXSFfbdxtst/Wp3peI03wKFuEK
avXiTACYrR98KvjhsF+hjZlkSXClEzZhN1+9x9PeC2TqTfyOMhqr619RRGsQPX7yebl44FM9cX7i
nSeeqZf9ACV6adSZX5SzqzREpZ3qkaFYxx5aSjVdW93hurT1jX+pcgyVdKJ9OgUCvh7Meyunr/Ls
9b7UPVgnjB4HehoZBCcEIGmspmb/11Rszntil+vBFIn1/0yxV4/wyu9jKjt4JcCgMRtkFtfYt1zp
3qCrC66eWDxr61PpuXVVUMP+UxNQikTCTUA2Ugphuzm0PXOUqJTAeDZ9FDzgqlQdyU0/xgLcV1mD
4XDlIXdBKN+Or4CwlkbPquTJG6ikWSFmxSoSeN0qwRPn83xSzcEMR7qJqpegZ7dZDJBCxXl7PiBb
Ow/xQoeek98wIDQOyI5EMKc6ByXEZ0X1Z5HzR+1+K/HiVQQhdmemhG/4TVhJDMzEAo9C3lDXs7Ri
C+PmjRtw2ffPe9b4e5X+pMAnSmXfJrIecPAYl1U48vQZ+fEmFAZkbjGWi3W/DdQ17BuXwnUzvTJn
2tV3iuRpLBla7zON9IGnpNNFC29mY9G7Wt2oQG3/JxcpoMBvkm1gVsTq5EYuYDiqcW/Btog7zkPc
nfmTyheuPdwloi20TpF9bjmvf4qTd98k+CDvEH90fBgQ/PMjiw/8Ibl1D8ta40+zBSraQpHVdrz3
tXWHL0hPAwfLAcyn0msUr4exQTe1Efgx5s9LT9SCRk+U3g3dcMQJRsYXg+ghb7CavUJc2WohTM9N
H6ZXawo1Ib1BBV+qSKaiEVxKPe8nHz+AT0SdB6kR8HIuehg/0jTTzs3B+lTeXW52bczQhSBm5BDo
h0pyT1NDqhY7goUp9RUTZ4YetAv3YUxxAsOj/FIQ02NS8QbWPh+bd41oZFvn15rPZD4AT+tud5M2
ftHj4/V0vQBQsgk6MwqlxeK2KSq1l2BdM4rFwkL8q5LR9CifDZVJ6xaqGZJARmINmZUe+6MESgnx
M8urDPqw+orAzdFOgOSFDoergWxDDv+wYFVHZfZ8aTK7M6EqkdHWCRpdASDHisLF8WjH8Pm+6j6n
0VJfbPJZxG/teNzsKVLM8wvVoeCMPuFfLEbc2xHPJ0ECvrF1dlvg+iGXkA3919Xb2nhE1FX+pHHL
mTlSiZnRwa1e8L1t8hsEQTDzfnSKPZr6m9HgxVXPQCuaW7BbZXXd9iP12ieEvxH8xld9zOboA/72
0vgNTY6k1Ezl34eYVXJnVZBKXVQroa2pzZt9cDY0SSW79YTn7FIaO5mLxCaerON2rNLloJllqO8G
f6PzSo3MtV5mzlEM0uTYn42kwiGB33yjm7lZAObkzKNQ4lfzpxM1Q77+J4tCKh3fbjUc/66DkiGS
79h5/qB/xGxp/bQp4lslZxnyRATWH0ZOlyBmXD3k9S5gt5QaCT+wDJ+pyNAHk5mGZrycwHtTCQVJ
PyRziHLnm/cv9YcdCiYcqxbYLc0tLvQtSDhzM8hdc5jfWe4kVKgltvv1Nq2r7vjnOnSASQccJsL5
FnhHWrcPgB3xSb5Jo7mO0CKeg2AL7xKTeNPllb7CDqXOeYqwCbfsR43eOHuElKTlYwSO5aaT3E77
gpu3TwSCPqPqGsbDT54FBZDvHwa1HgrDYMUFRO840IL4/2/wxSkR2ODPEQzGiYbmQGztCjrGbSap
6GojrzSOvqYwhUhvRpmy6FIpyiYGTdPEeShIvu0UJK6BBzpzKw01/UQzvXcwFYLTXKyQ1u+EBOyQ
fcGMprfHO4UXbaNHehcnVFh/M9949gMivwog0osw/UNF9hT0q/kmJMMWrr0E2kA5Cx1luo+vMJ8L
WOk00BGF9wwUZOk4w0+XeBcdqIT7d9Qu3Xioo9EvAEWs0KVdaMwK1BIaJ6qNslsR5Ttfpu1+1n9N
7dIzfulxf8qgjO4Iff5GUQohsS2Q0ei8eLVPDZt/cL1ZrXRXR3pPjI75nsBxBVs0XVA8pbM2HVkK
2lLoaR45/N3m1iv3JUCvLRhqe7hyI+Qabi3vYjs7md6z47eCDVjLRo4WvRB0qeSmeu+M5fM7BFqt
K4fYkIsstwBR4uuxW44IFW8DgFLotQ6NNonHuJVHPUZuNLVX9kaQU14rABVdlI0Hsdq+lLJ4DrsU
KDdb0KWxMcRNmkOgwJS3BUjt9OfBaUCI4vMMFvMG1Q7ujC+9E+e0gm+zsGtWwMmbg6QV5iTBGuyf
Thc5r+0fncGpWC7uF9HnYMDSpH5oPGwFitch0DsCXi3IWkiPMkPBn7tjedt5VKKeuggdXKDdTtTj
jpXkZdZGKGOPnrM9wyYIHR8GJarWLupwl260WsYnel/kYcfn9IyssXvsOYepobtnKthxRTO1uSdF
nN4YOE7mYexmAuh8RlVMPDaDFMgc4kkGlay97WpuT8ahd8KJQVUE7bAXMnA6YpnByGtj3knDmcnS
45bTYuxioN5MeUEzVxi2MA726gh1vvXbJrjdsvqE+5lRKQBxwRGbtTeRdaBMcLUtm8yVzLPF990H
J89vCIPLZ4xmxexW2vLog2UVWmB/gV8UfSoQiyAFnXncg6tKPuPkkY9AnsAkcjO6zcS0QQFABRWO
dM2HtXQJ8+7g88uX6dTYzHUr4A4QjgBJZg+9ewe5oHg40Ti3KwFer+2cDu2N223yW29Pgh2bTR9f
W/3d7MmypvYtGB2zQXXFlPTtTVglZfilL/2JF4R1sPI4yErlo+wNA/bwusfYbnWwq8gb7l5XGNx0
2dfKwBGA7usj7lJ5SbyEQlJdRke6HEiw7EnwWzLa9x1yqxj+6HtPtJrkcdmBfJKCsJPdvkC5J1dQ
7lljjVwP1mslTzQxqG2I7CAmy3PEceF1rxwvTvatM4aMUrgO4JkAEY1czHwxJi8M4F/REEqZ0MkH
L136P4uaCwOQ4zN41ILvqg2c/xVufoGz60ZboNTA5+uJkVUXcJGiPZTw0FPtZH2+Luj1oJzwvNiH
wHZeQUl7KH2Z08YZ074iEGynLzWq5113g4uVPPPhgj3XXhVyNcSZenHj0gkKSQuoG8LT4ZcO5cH6
o354VpayESkgvkECJiswbOvJb6+WbpZv1FaYfpfSIxQEYrzO/QuqRJs0udn2YwSPebOejI0zy0bi
zqGgTj3MP/hRHRecHO65wiLQpxuas0DRaAi80ZUGQg4sx24zgfzo9oh3kuDwBgMe1ZnHKStopsE0
z3Q/5fDemWTz0UivR08lMGCtS+fnRMb0dzCYgm58pR/Yi+z+ETVboIvN0ApOLIdAx3LsbVKb8tbp
oLMPt3WbCI1ALbTbC0hRf6lnSK4fi3aW/UmPTNR25QA6Zle2edV/H7kqm9JqT5nt/NTgocaM0Uep
WMPe8ExGc6uvUPXwEMCbvlIwRqAujyONgHX+b2TeBdwYF9m8tuH1tthsfl+xPEAJ54pWt+yS2NMI
hbU9Sc2i4UoxbKbsgoHHArSSzU76HM4BhTZ7CddM8IEAYTMr+mzNNfyKBeueCwDZRp5PsMaJ2Qj0
4rBW8mWxLw2YxvLeBeJ9eZGX9gKs9AzwdyvxHQDeZrd4BfXPHjqe/JiSRrQoIBEL78QEA4rb9YCm
WtiajrFnYeji2kXVXAGJXJ3lZVqBUaWPVZ9gofOMl4ccPV6G9iUEGm8Qfa12sqU0d5y1nEBZHtfA
4azGxQ6mQA9y66OzvvZxSeGRKSjVQwaq7R8alAPi5qY3dKopdQX+OqWekEF0/4zaCjbM5wgDKKC7
Y7ehjHRea9RDQxVV3XuE/EbuSTk4TX8EwCgVPFfku1QyR3P3ECiEHITGO2Wxj5C0hOsz9yeSuJ+Y
xxd4qiJ6h7oV0GKUAv3LXnSupFUqg3iQEwLfxEAmmNhPAgC20ac9b2W4t6mQ+G9aV4HKKqKxbgoB
3MaAPdLln2foIYf262BiHR3TzKI2wu5OG4t7UUBfYZCTfg6pMr0jnhPMjl5LH0U7zhUbYPHZu1G8
I152EoXt2PbJIusW2bRIpZOEwTNBQWcggzhzOXP81FP1idwvWizE71eQXHo06R/NpohziQyd7WwC
nkddFWD1s+I2rQEwyH4f1eHgL39oeKtLCBO9kMfRNaktKEnDx8IvVTrOIKh3IKtUrEXDhC7LuVcP
nXtEc/v7niYdAxhQfOT54UoioOsT8UO+NjfDYvrMCk/Mdx5G8qKA0smg/RCstgiLQbLLUUuwK49G
x29wAylZ9ksgMGn9I5BdeeopXV8Wc5ALheRhHeORPUEX4a5QUBMQTP3UcycV4DouLEMvlC8qliBl
kKK1FsYcKRpwhNN4amskQ9QpgSoVB0kAcTqVJtXcVHDkPux9G5/bb8Mex+mAThhepOMfCuPGZFgQ
1Ue3J63zsYqdY26enZ70fvxc4unCp8TKFJt7ieZNvqJnDewx6YLpdNozzJoBzBqsp1K/lA6IqZzw
ABWArchYhY0rEcwyuFx9g3LFgG2zWyvnasV8lLE5kkDoExpfDAYG+soYi3NBVTsI4zDCCHbLHHPq
poQG4cW5NMQq9C95TsVK5M02DcKvPu87cGsdD9bBewUumAGfe5TBWYGJ3UuUqA8dIVEJd/lIOTB1
Xelq0RNWmSB5duF4+vYOkkIXCyZhghcJlUZpnlPabTg2XfdgnOIeTcMLYPpYcB0il6LrV3u3R9RX
47/ZOiT80OhYD9rMZpp3D2d1Jsw7b0288SVItqSJXtHv4+YuTKYjXtMw/jsymGPUUha2kBMPae74
hESxpC9oKowFJjdGzE6h7RqJFHsmj1CZk/oIRzff+RRIIZf4FSQFh+Syo3wGNsc0DLIFbvdNcNQR
JdEoQlMLKp/tCurdVacVgyafNwAH+K6YVE9TBzDpAc9c01/N8TQh0FytNYd9bk3TjJWzv6OAdNeY
Q8TMHzxY5LRXYKymIYr4NSeq5gyuKQaETQMYlzPKIJnxle8eQHlJFoa8csQadJHY5RMbQxfSfM3e
8gvnoz8usbGhJCqe5RJ1mJWrH9GbwZqptTFYGTancvQsh6R8ZbJIOqGA/AY4I4OG3xR75W1nTrfK
/PHoYg4v0ISbUCsdcLZcq0ayCkTuzm0ppmf7AKkZ3yl7tCWoAQuYzclZ/D2iPcKSaAynpzq2C0vV
fCSFGdlZNF4NZ8dhRWkcrBVxTVsauhQ8Kmdx5Yp0zWrGbka5RCCdUdsCR3i5yEwLiF4x8DnSuLxb
eQLQDWS3UUQ+DbkIko/rezIDsVstOfqX6ZBETUfMyycJuK1gvjBRTJPPMLe2Bnqi+0hkuMiGbnjD
mhYr5RfXI0kZNVVQthVYpYox1ZmOlFnAltIUC9DIP5Mqw+L8/nRcTLRuX0kVJSUg5kiCNLR8GjXg
8Iueyg28Zq5PgU8ERqRBSh+Op1TOCCdrZXHrm5ulEKKFDlUIsVi2IIO6L51RPgpHTUhWsUvO0IyH
7dx4i53Wy1XUBJLxAmKQMwepXXkrfd2LQNF5SgmHelG5zNfC+YRKH09zzB911sA8itleh3yVo0Rx
bnM0ylrQyaMlDH2fgdlT/Wx5qLmZuYpIn4JZvo5spYvHe1q0W/1Hbfi2ZwgWbbjS2awVAuU0E38h
GoDsZmVZybUyhPX/dPWgAivIQ0Xhl60r019rRkUxCHOltdg5hqsVlRluZFhoAzv3wU7+bqPYDYwL
np/Z2qPBsav1Nj+w2AivdDUrS7CkU9Gkv75fsn1TzwRDDdEXPh8lcWDlP2iiACQPnDN3UgAkocgF
S/mMujAA+4TCe7JtDR0f1cbLDHdV5Zffv443SEeuAwkOx49Eu4D2z1vdBumwlUM9Rq8Kuqa6oPAi
hQicRriwFw22n6Fn3wgj4akUe8iXwyqA9Yx90luQp7PSHi1sq75T4bi+cKTMqUeHvwJqlvpMu9Yb
eY4XBO21pswg24q9/7XIFqQoVY9/IYOL57syCHBf+42gyZniG453MomHDvfUNoH2A50/wZK73Kla
K6LObwl7WjgwSTKHDyfAShEpVSJyVdkSeVvz0Uub1gj1WgaWsfXUcurnGkill93QlpF+BUZnftVf
u0k3NTghH3SQUa3ADjYsX4aQkxI0SGa3sXXn+hkH86+mcboHlIL+6qrtjDhmklRgLgojM7CVdDsm
YAmm/5WXR8uWXQ0xdduPCu0oDERLVR4LVNL8qyEssiK5RSdCvmosCunlJxwy9LEVRCEKanPv/6Rq
/0a7hGeLelMitlA4SNj0Ut40lL3GLoDsdNXdfFGHCqhcDCfGmRdNyVc4D2EKQ7blgQ+zgFKUNOoj
o5kOGcUC5E4lxaHHmA2OwOxMp+z9VXC5km96PYC3XRScSJbpKf8ffFfsKZu74bS325b4nL6SwSSZ
fU0RXArL0BNPm5UqN06+sdLxyfOLVlcSAVFCPM6gJrItri+IKbIrKC0XqJ7T19KE3HEKlE6ggbqY
78zqWSZbbFTItPFi8KfaYqRggB/wn4Hp0WkHzCYlsG/1GrVvZ/7LaH2OTllyX4Vp7yrwIllJ5NyH
pRqsrf+XbyD2omvHMsFHtap+L1wPDCKn8AmIXR8A7ZSRGaeQyVeVTAN5UtGr958OXfY3bI5AIPa2
H2AshrMXbBzp1X3T/jnthWud3BIb4L4n6moxPY6uzioLvEfUEa362Y32IqJfxfr7q8QT6Cn3zmN7
Bj5+jL8NnY3uh3OEY3jlt/hB39Vosxb4Gnf4fNE3iXf/T0QI8+kK2CE0s9mv/P+cVrC5fxf1lhU3
Z7vCKv03vUJcrR+Q6t2O/tPkDVI9sWh3pAdYS9+u3GcUBAohx3AOAkVgycr0pnEusWNiBCSjEEuQ
4vp0pqQ9PnZ2Zfne9dqlKwiiIS57JGzI/OuqeTlDmsAgBzxUNIWrm2fYUkxI2mCsWU9hEYjPvOfT
Xxw6trnt6uhq+S2lo9K5n5qs525vFN6njKFRXDPz/vYwlKEajQC+kFKUiPltRqJwXEAMYYCB7Sh/
rEEwsTiReijT/n6x4LUHX5dzLP38o94LIjwwrHG9dDxoSHRI46gDq9dTFaELPvp79AENBN9lhQUx
SeAnH2QDpmvXPeyFHMe2oQ6iJyxe+mz5rdlqa6Gtw5T2uDNcza3037sn4cmNe1yUuLt6xdLhYx+O
bZM/ZVmCLPa1Y5M6ReGtW8ZzZn8+mRdb8w9w+pCrqqu2LMA/P/m2PxTjy9TXJcM9oxnR9/fjYblN
+IJEWnpUj2llBWA5shHV0Ce/quigAbdPj5n9dqq7wt98bBNwLE8e7dBfkuZzNh517d7OOTDzFUVR
y2uOO1BtfRhfl8S3hfcwlAVIuI85FcMx/wvW52jjC3rOwJQev3cfrUhBnfwxDztkjP4VViEt8fvR
btgtPtkxqrYTljlr5rdY245r+M8BK6h2+S8ww2ltf8qdxjmSq9hysZh96oONOYe23MUxlB7xXDnP
6hWqtYIyj0Tycu9KkTP93hbUCclYOI2OoF1i79/4uS1987QXaTBuf3UjqIF/tf7/Yu9MmuNGmjT9
V8rqDjX2pa2rD0hkJndR1K4LjCVR2Pcdv36eSIS+JimN2NVmc2izuVQZRSaADER4eLi/S6us7WGG
9h7aCaOsAYzz4Uvm9bxfkzoZ+iOaf8L7s0uKZcwQX8HxfAmWPB2N6GxKNVAPSG3Upd0i2wHkeJkv
npp/qnULufMde11uzGdV1TZcA85BVE8dDjEhmZTtL2CCR2c/dqWq2Q9qyMFmuVZHgJDWpUU9u2/e
ObWXG8uFR0clmY6qE7pFs4uSsF7jLyyYeewCp8HHfAmSDJtT4xI5JpNm22KHCoMJ69tM1xso+J4L
trLJuqa6i7Eh7tMgZ9DD+CYbRjvRPEwFx1kZdikC4XkXlCGC1voOMoOQNtRdUtDiOto8Y6IpEd2d
acGNFwOEeRlYcZW71Pw0J4bAbVLmJcWZSwjcaIFCSyOUxOVJ9NZclpkro/Yn4sRCgyaavrPoKkc7
2gum3PV5aquKKIZ1Y8tfSpXLcFImayXTMdN8/YLqXw2xE/HRbtV2iJmHDlRrd2hwfPAbZ4mcJPOd
1qtsSqzStCW287Ht3+t5N5cNvopIXLreIW4bTUt3AF28Do4QkLhi2DOFQa3kDG9kvCs9NOd1ykjL
nAy7ivx7tnwdMlE1+GmWj1hTW3M06xjiKXNdjTv2ZciZgNeTuFEP6dwPmDtaXmpMnFjmgbrFwVjb
3qJGoKhDle7ing5heutuwUtTcB7AnmDQG6cOPGDq3fpahxSVxAcwgkVZnutuobYOyOJBS7AQntGS
WA6rZgkjGwBRBQUbUKdNR5gclwlPpM/So8R2Z4GUzpe5jMa3gJbxCTg4uSdOrvgu1+wDLZ33Qr3t
mkGUnkrdFC/BrSlwAm6krK6nV2NUwok/VOMowEUQ7sRphf7szCnBh9hp5+oZ0bW3PTTNS6TW7lGz
Saf0QoYN+QkFHwoqX1JDjHZLwYxooqLnsWedniCYWXvRmHmLPuj8z22Gmn9MNosD2R9u417AJkZ6
zK7zpq7A7aQHeFqiIB+uqsHFVlwzoRuEhTAPwJZN7BvoyIvKR7LhhwcSHMZFpSeLN902+eUU3VA0
qDhYcXexZgtb2kVZmGZu3kHMFAMHOlk01eCLRwToqKPPO/mQHanCXxYVhsvFtbL2zJu3mYfAFgc7
NDoS7dYpOnOsbhBSAFTwtSvzru6vpojOuB76gFvEiNfzVPHBSW2RiH2vJnXMK0pV9FTwSNCNLMIy
YajDmXFcBrulEOsPsdWpsN4SRexsWC6LaaDBp2D7ma0Rv4bpQko7hwM2H+WttECqt8FuS3D66QHL
cPF2tSRX+TziMELjGMi/eGUOFDyxskF1qvU1Dq+FNt/UloN/wDm6MR1fPEsSgRvSiTH81LqWGA05
stCbBNeD1qdoTCD8IqDzEBfEbctNxz6F5M/ThxGcB3IT/Ky5u/yA1FwvvXHi49TBwGRfolDC1z3O
oZ4DzR61RXhFY87Mpd+3bSOiWcopgwfEw7LjmgPRhncRZZudghsm0XgB2Mhw0oO+FuI9taMi5LMl
zghJE6F8rQL75bYyC1m3NAKIZB6mx7o3x9GgZ3aS3UY/QURIl5SViznpaBXxsdHIwIZAznY5eYHX
igzViJOBJ9ssSbLNuqPp0Yv7ICeOfBKNgh7PJXfF2DhBqHBhEYFVRy9AzBtkTQkGco3Ia0mZKzma
7I2UWAJj08hWhjJdP0ijEJzJhQx0No+Cox2i6sEopqAAaGJKtPwEvUigqNgfxeS3hol6/s4AfME1
h5AK7+QTWER/IUF/gX/MNlGRaDi5j5gT0ZXAUoYn8pFZiW9kL7XYRWT659W9yqiE65Az55TppDhO
CnZSsU4RjWBhEfnF/NJzV3ywi9xMn4KGh6+VPRJyUTneTZylO+csBFHG1eq81/TwfdiYONhfzFv2
Kdne/TYl5CbWbhWOTZ7VShHCQ8pqo4XrcalPiHMZ/ZSWezu2GbpqrUQYrPBZ50kak6sgi6AwPiyU
tRJhFw/502KwRg62n9thNZxk79rIj2BkZ6nm2rxptphqAIESt9NLkaT2XjO5Mclpm8cAQg2ohkD4
ck/I6FYaHBUS2DxMcFSBjAXDCqP1E4kdKMrAa1yQceaRiPY15Tp/HFXxr3LiR+AKCAH1WJkJQKFc
qyMKEGnd6hbUD5S947OIwiFY5TzEz7O4rhHvKPtA8pX07QnlMl+AK5Hv11syMCZwste3T1d0tAwi
36cPRZvwqK5FzKlBBjIwK0LXdgtVJkwNptsWkjkstaiUpyUw1eI6cW2h+e4gCcy7n01jYQRkylIo
kyDAGkZHyF9UJezSXQUyZL2S49ZsEuemfbLRQ0NDXKOZtUVMtYZHr85laiP11uXRYtx0C7QUtmJ6
2Gx9ig1UKUkoFhJj4Pq1LXhQZ2h4LG1bj90JB7ukqYlOfqY4py0oR0iZE8yKhq4S+6VaRNZ5WQrq
hz9ue4pZlzoXkUFc7puUNMVTyn3TylMh8m5tK6jPGp113wwnCz8KKEL3YPBMxA4O9srRIDtDREXs
80oO9k27KZI4bqevfbs0XBO+qkCJjr05KOrRdqBLrbjenTi9CDKK+DdvvjhpXoh5E3WzHU83SlyT
bfhQCFI+nkq9emiGzN61wTgjPcQG2/a666d21X1pP/iDZb7aTufQckTP/bOMTnJ/jp2TAj67nzi4
4igiChWK2ZhEhEGvxfVR2BE9eGl5IkkZcuHJmCMDsrssYN79qdK7+sirFp+GhC5egqWuYouwI1Xc
Z8qJqSQaeso2dpR7UbblOXIY5O0QjRHoWinbn3a0GarzBJAJTyQfTG5XHEBETCU0VvxOXkV+WR5E
8Zw3cpNNltTlIThyiM1evl/Ad+gdX0pThSivxIvV4xiBqTc0sLthOQdgSjAN5PFoXZtenBe3tAo7
XpFISRQwuj7KbF3Wg5dVeB6q+FXwo75tcPK72Jt6yI8kfttCZRCWxgKuoohNWsbLHlKCCPM1jDIS
DhUBQeoIayOi1I+dBMUxvry1KcLgKCIkEuRfmkvX8K3Beis64NxeDS0SuNnmEIxayQmErG9b1ZKb
wjdKvkB5d5Oi+WSRb+D/sP44h3hMXdH53CoGcmvM+lwkkym2ikxn+SyyblW26mi/L+p+NWdm8yBO
P3L1SA8kjQMIH/tRfdiqgLJaUniUKMr9zCrPR9CPpz0NPVARnqTgirRJ6GK7ZgbLfIiux1i4b/QB
PEJ3z81Vx7yE0CkKMSHKMpDMpDOmak9i1wPlLMSOlu1P7G1v0jYDuIgCeQFAIymxUjqWIwqT69ti
+87KCBOW1E4dT2aDW/bXGXT/kuN2ZttExRsnFO5P6tKJJptj2h2fmrcDH91+EbwQK4ycC8UKkRYK
0EkTLzvOFM/VzxFS9t5Em5WIGnftZ61ORvs4GF4PklUINEHUSFXE3Idx8NSM6ukoJFjqeRjj+Exf
kDxd3hcwr8ziI2Bw+FX7klJJk9ytGpQO941VgFqJrp0ts0IJRiwGuTSkq4ZcfEoNFI/yUpMgSv02
azOV4ZNZZRKaGJ1cU5cYIYHj/ySSFTCD4uQgtze5FkI96av5kuKpPhR3qSIqMw9osYi0xlUboWcj
Ly19SOS3V4ZZlNchY66NfsEWW+vZue5oJEnHLa8gVIg1kHm28PaSMUKmX7GiigIbb0wpou/M4TaZ
gnLbcqQr+WwV4mxt5YV4y2sXdkIhL8xEgQwnXbETlqmli0RNhjZplyQDsPx+k+aIUCPDpNH2vXjf
tAZ5+H47vst4J/M8ed9ocwkrEOFYP0jvkB/Osht1TQ61HKRx+0cZuLeiv+XCKxr83lmIYYjA6Mk4
X0QjYi7TW6SVVOwZlI6QbX2so4nW+s1Mo6o1r1ejGsOUU++J3yb5dskm+CLZ2mCVIFsepeNDulHS
3DBCwPEcWKdT1TfY/oiKsuRGSUeDfDMvEHLVYlaHreDIpnYukCOS0M3BQOSt1piJFoujEHbogp0E
aaVoarLZFgwbCUmyryUrXPCzqK0jUCcISpI/Ljm1G1l3pZTBNESc7USF3pi1tIuF/o18WOluQbcy
EVzRAp4wvpK2hRvUuY0Rmh6dyaiWW90J9OKsc2jsI0MIp11gjFZSYO9Kx03To50aVoLswkbtl2Tc
eXOBlH+pnmrqslSPvY5wXpN0GrN0RZCSHDun7Tc99JP1q5QGqs1E1T62rmJCF9vaA5IpJJsmbM6V
MqNfn6rzTo3iJWkCtc7S1g3KXlWs8hNZqMiih42DX6S5570fIiDdO5mqkzkmaXuBFOG6AonRPdGM
UcpJ8FelkoFs4kgF4Xkzg5UsU8lskyZZW9tmPenFUlsWbDEpfABAEuK7lAcAfyf4jtK8JRcEgrel
lggMmVabMdNWQ0oUhhAlk1Pusk04pUTb23yQptSyxyVngJxbbuV2/AmMrCEpr7REidfqGEPY49tg
oJjxQAl9cta9fBSDXzV/SwdduwVlzFZ7UlPiHCb2EiQQ+NMMAfNGuHlJOq38VpvQhWTaWhSy7Ldg
V0LP2Jkbh5fVILCbwKttMuttKkrLYCdVxFeUggNSBULvHAHnk1JGW2/HUBOBwZX+L5s+gRx2+Xd2
ikXStbM5vXUbmQ39OvEKpXpSRZV7HMHRnaR+rI2OmKopsfJOrnhb8gATT0zSyFsEfw0utvhp3HQT
9E28Az0ZYUCbQVRlaqH/J5Ajm86RZHvJgCm/lJr3IX+ReIYwO182F1d1e8PbXLHDTNwNpptoRFkb
411SuGUSINnwS9WoTvx+JdEa+osSJy3GsN7m07q5z0RbO0veR9/kryX/eRvRpWhOQ7/pvshnlqJh
aPNVhIYNybKJcmxzVzafO8sVCU7UjuRZr2WjEPS96Jpvatk2bov8hYAcfpbK3MWKTAA9zsGO4un9
kEObTw7liUcp1RWoQPeJ6ed9HZcLzouNIGMa2yRK0k7Q/OVLkK9EpnCVOlenSR01VfcJ62cvi30F
gAFTd067nF1WTk+OYCIyU5kSj2Ij4cs15eop0Aia6jsJBWhdYWa/EfxkuNVnsgxq+1Eazq7vQd52
u328ekl4O7Wx1giZC2pgDj2L0+FLpoFqm5ymyFbeC7fHmraTlfwC8nwG5yT0OhQrnHadP6v2nBr2
QWbssuAj04TczGIj/xpFTmPC4Ck7cQjdjq6yPeYpJKPg5+nIhut6Ls91Msf5UUTfNmpn8yBMts6d
s1mTQqIQh30EPkU9jA5AmDifCnqgTfSajVScVuSzeFtuLg+eQ+d6SoxWIloiVDO28t2qqxVnEJQR
cv4nj4W9OSE9u0PfrecOBr0IvoOsL8rMTBZI6cMhdnOsMszpDD9uJnP8Gvd6sY4HulEaU2wajDlU
sM/syHVu5IGdTJOj/DykmqWf1SkVERBONDSXcD+HqbJQFZ9q0MjBZOQOyRDe1qJZGdE/YMaE2zGc
NRPRypeJOpwqMX8sTXN4WGdEJbI6LzY7WliHAx9Hqd41+ttQQYI4x82cqoF+k88Nb+AOIFJmtd+B
FndZdEV3zTCW191UT3p/zMdJUZNxZ4VdVWMgUYxt3iNknXBA98ESqlp9cBykWbUhAPGIdeGuQKmc
lsUOyafYSi5lPU8mxbJc0Se6+DZRFIo3MACeWpNLyl2dtR5IYByyWtrFeA6gIG2ANb2ytj6LNbQJ
FRlZ2ZqAZvKS1O2gJ9k6SlVhAHHjJFWWJ3g0JBSS5PuzbORNWf5ZCs78gCuLOMvReRC1unaraeFZ
LY78Kt5onHIqrxFtYwZC8Mfl6bujm8nHMUEVFfdY5zW5e8eCOQTYvxel2ZsY3UHFudly4gavSZ5S
VgHFS1KHIOxTfah9JDFadwwUTP+m8iLpM3EfyN+iaiGLc53KNvivUp2hlTySDzkMC76z1o6xXD2A
K9bdLEBvuda0fTEP3hTvwFqB7bmiLyPOSNujQHgDtXM3aXGdWCTw3mzmbyiLRU17lY3lVMyHuMBU
N9oZKiIA60e6inrUHbCkc/PyGDtxmBcXHolI7JxFg9AR31lahnb1x9BZkqJ6TRt2cSpoMvEYOkHW
cCKPDkaIONneHA0j6Y+q5nQJ4uOboLq0IqGuKOxahGcGOX4bLicYJ3g9Qne/0QMlCFZu2yZHutbb
DVYyhepOepeEm0mG6drGbAZTW3hRvLMbLS6zYIOWS/3aBL8sbDw2DmtTT0LOLUnB+iDWTKlXT1/n
quMo5Y6WzpyGhwhVnyZNgbfl0TIFxkTZrvQHKhjmEmAxGBYZ4N4QjesdQG/NbW4xc3Qbw7cUeu7L
oXapjk6Qezo1XH2162fOBuPcVHZ/sEYz1Vo/VzCJdM7VZYm9fm81i5a9DVVdccYjeImkhzkHy1pN
b9OhhpX9wZ3gMmZfDews6d9bCaIb2tnoza5p72ZjLEV5MfP02t3HQxjP1BcMe0w4miWGmuF5ogEQ
WIMpC9PJDqy1TDLIOJgx52YCYmnS+pYGfDc02XFltLKRnpmG4N95VVP7hTWZ9/glXBpNqYeFH66J
1Sd7ZexobX1owsqyppsWhEClnidpHjnlbdKqXloebRy7SWahrJrcvp1Q28p2OeYBvb0bzdUy6isX
Xr9S3xe2k42e5iOnlubhJcsKEfJbjr8kTG+jqSj4oELfrw2vR2stqvUQmZXNteesKxTjQ+UCQqRt
OdCNPkdPBPexyzDH7mK6z+ZmHUzA9m0Um0DBwHwsvOsUgTX7dV0A8LH9EFawuVyqYECtLlD6uin+
zurR7cedR2RZo79da27N4QCZpMOqBD8QesSDBQPPupTF21h3S07W0xhb83hfzoW9aikiDTZ+MAeP
lGQ5s8QO01+HLGB9OsCt56We5Y1Z6vldXSHlFL6m9zzN61lc8oH50ht6EF+HenAVKi621ZMD71Aw
aHP7CjozBjX7uqEaAZHWWLXxIbandlQvU4hFYXKkP+oUzSfdaC1deVNgdaDvkbKzjWznkadXPWuc
kB69T+CSdfaOJkPs9kfNSQlXgTnA/oaZWagZG0VawngYz0tlXDyb/ixV4H4HJ0D33KDNoYLq+y5z
Vle9KN3Rscxzj1JVYY/+UpKSVQ+wAMym+ox8ox0Vd5WSVEq0Q3AtmxLD1zPKisZ1nXV52e+px3iG
tvdc4B1R0HGKXBEd8dIUjsPfS7c0TkXbLlRL43wSnjG667vqBPB3T7fW09UHKsW0SW5hQqWje2a5
UWTNDwXH0S7Zw0RZVbrW1OTApcyTk+UVatB1ao1vcSNt2upzrSUUHG/drQHRGtVs2J/UKoaK8GUy
C97ywg0RaJjOcX8RPdphaxY0BqYO9RWwYa1bPkljopw6PvVJC4lcXjYlDz2Mg2UFMNLuZM1C1lGI
Rammo3CbJBGzXZmRPvKrJisa+7JJdK2n1J9VDINfaODRqsBTzHj9EMejFYFxJEetSS76GTrAucQt
GLJfDKaXTanrMJ/OztatDgfTY7aAkNBxX7uL3mxEV7TcbFrTrX8nH6y3Zxzv5UZFlU9sw3KfQ7FQ
wJbjxBT+xamsq0eG2Nmo94n4Lkv9VVHMbE2y/z2qvcJPRTSLHlG6NcW9rZ9G5BGtTuk3C6ZFNCJl
1rjoYeJVeyrrqdoGkbmKc6IcaUeMO4XvAlNiEpNtb2/YOVijGDqAuDr/PVTumYgkK09FxNJBNNoC
zktD6ilOziojDwVBSwk2MKE0BioynCl61d9OtJv80XaKkSfxJQ6Rz/r8+2d5BnEGRynkfMFVgicF
B+o9E7Q0KCeuoRN6GI5NMZBGvBJEC1v4u/K2kLuh+ngtywKbgAdHQXHWOz3Gv32d/z16qG43FGf3
n//Bz1/RzuLYANXp6Y//eZ18bauu+t7/h/jYv/7s2V8dH6qb++Khe/5HTz7DpeWtg/v+/skP+7JP
+uXN8NAudw9YfvWn6/OQ4i//u7/84+F0lXdL/fDXn1+rARY/V4uSqvxT/ur8219/6kLv+t8eX1/+
UnyBv/7026RPuviPD0kbJeUf511+X37rfrrAw33X//WnYpuvQKGbKmkJrQkNhaU//5gefvyKyA+a
SYOyIfDZ6G6UdLLjv/7U3FcOsC10myE3qgiE86sOM5TtV0hag/d1XUclKCGJ/ONRn7yv/3p/f5RD
gQRf2Xd//flMDBcbYBd6Dh6IFrAqlfz06ZxeUIGvZ5jCAY4LNdWTuduVgPTH9Tjky/dHwyTv/fhe
z+SlTvdysQfShCQs57Vnc1bt8hUkbxoCKLAGf8WwdG83ao2+Qvfh93fSn6ltbbfCLZaFCuTQtsXv
H0Fa5xUgVJjwtVaS5dLwLkf3Q0neHmiLmR0KTmw+th/nNt3QAMjRp8WZAzQSb+Mkqr4UxvcxulOA
o+1BVqhBuPggF9FQpaROHmMQ/9IXRGaeMwXEa/BsU0PPwzZd1xTL/dHzpm5bWNOkecEAygx8WwM9
Y6pq3wGu7pObLQHCLOYL4uDPzMFhB6DjzgwzTUgSvwD+YsKGIelSoPKWuhzpm+pN1Izfc93L38Bi
vJ5CTH7oUVfXcaLMJJ7aXqDzrkdOhyWA4gBZhgDE+5vY7LMdc3lndGPlR811PX6YlWwi+mvLDltL
y19W2MUWyl2YSnlfFsv286yu3pKTvQFbMe97UzGQNFnN3WC7MaUoTmSWGiOt4IS+VofLrm29LgBz
C4Otzj92rbIz5jG5+v3EeS7TJobE1A1eBJRRoqst1sujF9FO0PAQGvI4Ugxz0EL22cGT+YZSe+In
UD2CoYs+FT0JrdaFV3AxL6h2cI6vI/v4wqMI2PVj2PzpUVgnBjBI3cAC9OmjLFXmmMiceIHqAZwb
p6ILlnpe/BSsqmhN9X6eq94eQiG6wPh7dn2/W0w8UKzm4zQiMv375/kpUoiR+a/HcQSK/NHIeOZQ
kbNXHmlIDbPNaKJgNDilGcOHdlrTF+gNRMWfvjzz0tAcyA2CNvD0brAhCxOypRs0DVwRb+rHfVTb
4wsr4CQf/3yMoekQmbFRRjJXhKxHX6qAa59ryegFCpAof5z7L8Y85zsnGaAYz6MfpWuwzK5xUccG
vpyadQFVdAlW33Zi66wDPLiLYSkf7bm4qw29xJ96PCtL55tRDh00k+sh18LrdVKjHaI8h5BW2L6G
2aaYiu3HEBl9b7wxVmowTey9by3t9RB25mVt500A8qv2GyB2vpfU1b6eUn+xi/5GWwJXS4Zz0IdF
EMZVGxQKjSM3xgli7hBmzsN7zpLfsnL6HEVqcwU6zldgawfwTlvf8ggpWfJ+TKoVn9JG8+2qW3fc
J0awwe123lhWL4zzT2QVMZetk84Xgu8Ow/10nGH1N8gd517gUELYL/MO46nVN0oLPr+lvIvHuLrU
6EgdYBZihBkFtqvPQS6QqXzsBZnDZ7nTaY0T8ND8cFFTRJH96cM4Xj1gixq6gdOCVDK6yfYLtUJi
5KuHsHY3dX4d9+oLE/qXN3UxAUMEUIWa9uym6HcVBAluWka3Y997h8gee7j+zfWaAI+FKTEw217I
En8ZziDCkblCEiIkPwtn5UR3fmxStndrOO/EMctd5uwIbtuvRsh/Sjd8oVSg+GPl4CyWJZfFaJ25
nRK/8PU1sZKerzQocGRCSD0KSZSngx7irIHIQeThZDqZu6UQTl+qKLE5U7FTm7jeYRuCDGo0txeQ
s+aggTa51x3lpiYruXDtQKmGCkxym579PrD9xJITk9OhMkeyYBBqjGexJoO3E9FLcQOv+GwAUX+d
LzdL1vsWum0q4pUsHrU+ViZsGAO7znC5NgeILaOVDHuccuiZR+xRmsrhV29bv6q9z11hIJTTxQUg
9btEbztsq1LvOHsrV9NtdecgTGK4gx+OsNbcyd1jP/Z5ThYMDtvat7N7W6XVoyzMjjm/yqb0zJvC
0IeqUu4oflOtUpoaTfj43iKsgVFaDl2lrVcO5o1OOe+UotA563WXsO0o3hbockHX2EXRnAY2R+og
WTl0ag0Vwsx8/fsB/dVO4SAYJqIqaZ73LKhacVOXUEXcYEq9Edqssovcfq/3yfsEmd0ttPw/OIG8
Hh9gULQPf1zf190fh6H8dt+T+f9vOJAItdj/+4Hk3QB74Q8OIX/s7pOvVffLI4m4hDySONor0kwI
SIYGxMXUNX4ljySO/sp0UadVdbxNLI4dJM7ySKJrrzyRAnginzaokfMpeSThV/j3UWpR0biFkagb
/+RI8jxS0msChY1hA5ey6Wk+i5SwhJUw7tfooE9Z/2EpzMjXJiH6RAcKA8nk+9im9QdDq+4fDdp/
43hyuq9n8/3IwemF8f0e5wLr4pRTrajRgZFDVK0z2ru0m5tdopbD+MIW9Dy9EfeClEuur4nBPiky
Pso7GMphHMclwg2PZQiZIjp0tr4Gv/9G4okfx1xxFwoWnqna4oW6z1K2rjOdwta4C1UEfOa6Yjo4
OCicdWjRX0zxXFwh07PXzWNLpej89/d+fqLhxogFItVHTAUh4jx7i9Y0RKuLRthhtixj78TmFUym
axDHyUFvE23f1mb1wh7zfIs53dJGaxATNey9Tq5VjwbVsMK0r9Q8OkxAqHZhqRoML36PVmPFL4S4
X4ysTS3IZTnonJzcZ/mM58V1OymKsle6OrnVw1kNPMrs56HlZJdKt3yxMvXSXZEezGGWvPA9n1uG
cap1WIEsOGi/uoMuw9OZaisdzH1YdHuQ0O4uRrHpCOLM8Isxds+KSWsDQyfJc8tlOCTpSsG1H5VA
wyzTWLNP7M58SE2sF8bkV8NvaBpHSua1Tufp6VNB6UEsrDKUPXwT72A3yEgh+lz7UTI0h99Prl+N
AHUvYUMGaZVinIghj141+LMpoZkRH8bIqy4BV1l/x3A0vyCRbr1vRnUMPHuC2Z6W5+hpKE3BeRrh
lz2SHzhFj/36JtNCTH5//1j6852PF4OfkkY1B1FbKirPJ30BArzvTELXbAwJUp5O4dMzoHabAOGo
fCh27ju6TDTOx9WIUCFb4l0RhsuNVxnTxaRPysfBnvnUouUxNRmbxLyEjHYFqegAJd2heFJQJG9d
8yqJlL+LbDZ2cRw7pa/MSX6W2pP1Npx7kpbff7WTQ87TWOKq1BptVjN4Eeb90xHPnCq2NYu3izNN
Rl9rxQ3ES4vO74BCqLuwitXvc1jZkImUeQ4Msw/nnbeMcHxmoJ/orsXLdYHDRb+DFOp9hClmL0ET
RXG81yiqb2nBk7rk41qT8fMKZfMiu2V9EmOplD193rkJLWSXrHC/VmEV9G06NLuqLCmmW21xmcaV
dteBgKoIvuVwvaame0sXBDR7uoRK5msNnS/HNHqD59f7yJ+yrqc+lvMPPWCthh6nMqq+a0ZvayRg
bpNGjd+0YRQmGCLPziXy+dZtMnv5XZJbuygvD1GiunSKh948NnGnX1DEsu4SO3Rnagmc6yvBLJ3W
cn2fGY75PsXT7Wtv9sNBG9p/ery2PE+FkU9ZQRTIiNJPR8cYkUyNwL7sQ7Td3uf1onKAbKwX9p+f
dzlxF9d2DI9cgnLm07tA/AS84Knh3qP5H0z68lAJzu7vZ+bP6QI3wc2MWEgNDV2EpzdRKqESZ03h
XptsYBL0Lz+1GET4UVTmARCiyB/qqd0tbfmSkdkv7qzRL0d8QaMK67rPDldph0l5onfefrQMujTx
ku0wAFz9pUUMN3LegwyIPwjfgRe+sf5zpBUxhulNBmFRVH4WZqDrArBLDW9vVKpR+cbshh+Mse3u
9S7NTN9r6VEUwNAPWUIHaIds6HpWzUVt7YZUrzt/BnB0FYMj+5ZSxGpEZUkPiRpw9fP2HS5jyuUY
O8a7VYnqwrfLMr5TsrL4aueK+RonqfR2Rj7rhXrXzwt2C5yOoXJoYHI+fY8zSG0YVRS04tobD+bk
em9rq7nrsC+6rJx5OLieeeMaenwEOJb9j4aUBWcLr0SHusDTuwPDMRVTbb19hTPEsW9NMBZKKWwq
aueYZs34Ghf6yq9hqAZKSs0FT9PssOaqcVvo4bJvSvdD5oQcUONwhQu1YmyiOiVsddPee93U4L82
Ycer1g+RYdX+ULT3OZq4N71OYen3K+L0/p/Gao/VQKw2TIemKen4k90xQkseMTfHofurO3cr4cSH
JA5ap+i13l+mFuodVJLzpA9NiiyNdz7Tzb8NMY3+8D94FINI7JBY84KcZ4+CLQG4kKxijbSZkJoZ
2vtxWCPfNobu3F015bVDg9ZvzKjwm64d/WxxrjRQ3XcvPIiIaM/HhBTYpPhgI239fHp5vM186mIe
BDhMOejnK6Zp55phJ1dkaNRS6ZHsciO6oihnnhl15x21tMoxUNatFybbL2Y6TR0iFeVl8iX3WViM
DVAVCondvukq430UZ+61zUq97ID/BLkZOUcn0u492mGXitM1L9RxfxGUDd4I0ZIzHKbGz4JH1UBg
TxvuPntheB12nnswCrPd5uD/P5Y/6hNqv+8TXt+3fVImzfDwuDd4+tCP3qD6Cm1r4oBI5V1LE1Hn
R2+QIzVHbYBIOi1D0Yr410FcM1+54COBGoCMwE6EF/yjNWi+QgmAX4n009UN/Cf/QWvwNA8fLxls
S/BddWhHoRJrktU/DSM5BLEqrWJUx8pmRl/FccIzsDTzgOrSsr7jtGGeG0MGRG0y1iCOhumjjRDg
Q2HH4X2tOGeDCdon0OvUK3xz1puPmqEcy7aubscM2wSz79yrNW29d0lqNDtnSvPjoE9eMGd1+aWB
e/uuAhb80NXWGwE7RYXCILOfSfIv01GPX3eFFV7EigUODNwQx5ylY4toq9B3Cq8vafG52jcbNvwn
A3rgLVwdNGjWuXsb1XqX+3NfWLG/Jkb/FpqMPvtWnX9HGsJrfBBaveWD2lY/IGRmfFvTwhn9CaGN
N+1cUKk16j73ERHgEKsT4ka/Ap8MjHi0qoMxdi7SudpCdhWtn2ybnFB18+oaDPX4JSyw/vVoNFm+
6sXOAZH9aPEzYBbnlZfp3/JqjI5N5h3SQb2tw0l7b5dd/c1A7/CDoVRo/aLnq545eunt5hXua5DX
pP/jnDbnnpvmBFNlNS/cMc7z3TIDpYnjLPn6+3D6PIh4FBU9MWvRjhRWruL3j85fJRKRJnCIMkDU
xQsS8jPAbYobnO7yj4LI6/qhfNu3Dw89ZbvntboneIP/vfU9mgKPhl8AGp4ADm7vy/vi/kkQER/4
Uc1zXmmOQeENfTkwAbqACsgg4hqvqPuTG7Pd/cAeyGqe90qY7LKoWdn0Uljn/4oiXM9zwCV4pkE+
DRT0H0WR5/Yp4hSM9ar4D1KWBsXBZ1MFa6TOBIu6b/o4hmFham91Z5nO1tVuAtRa9BulGPvzcV10
g6KN7t15tY1akJqnV4aignwdOnOX9uq457hnHfs+ajq/QPU18IYE4m/MdSKbVhE8pfL80UD/oiZo
PM/xeXqRvZhsx/QteP6nT6/lCkcpiCX7XLHd2wKY3aXnFXq6K6IlEUCGz1Xaqf6ypEqClV0ZXyzQ
SNHbQeDEh6ZuHVM3Lg+jmhzWlEGYaR34DdLBF11ZC1PX4UsXV3cWnMRPAkbis6V4X3BVUQMNhfoJ
nzC0fZp5mY+4ko6Xsacu8Cx7MD5eZ+97FEtu1LFI0O1RukPqKOMhG1z90KA4dNmCwTr7/YD8lFsC
U2Dt01MS2QvN2WfJS5mXReQOHRzEif+sKbymPl+XAETmfKjr8JA7bY6IfNH68Th+IFXPLhbt/3B3
ZsuRale0/SIcbGDTvEKSrZTqVap6IVQdfd/z9XdQ9o2rSh1L4dcb4YdjH1dBwmY3a805ZvXJ/PP+
tdC2Y+5RDQoulBgvXosE2FT25JX5CCemx6yKWwQlhMydAidq3BXD81KroNndvhm+f/wELgubONZp
FlOc1tdl8R0trYyqLh0mGhrjoNPMaSSC6DH7rVj2s4E/4MANxO7Hl7w8760meUkDj8I0BxT5pzbz
ZrYdqoiqQU0SiT2qpqeZ9kteN/ctysRPLvT+sa5HHyomJtVpdsvrzvXNhQrAVwX5j50PuGjOXFDp
5Q69b7ctas3YTFZDAR4k6jEZEvnJtlRcUujWH0mZgG+McgTlzYtrBwyqsKIz66dBV+7yqq5820Tb
DS3V8jO1eawKGmAT3olWLM9FkPyvbeE/N8DvR2/BQ3j3lFslRA4EdYl4w+BFDcrXqTZfEn1dUGFK
jp3YFoX5+PGbvVxHuSaVGOZsk6MaNoKLrylWxpHuQtzR3W/lASFo65mpXT19fJX34wexIJM5Zw0q
rszBf7/WHuoG1kmnwQIJAGp2gJvNc9e6RWrEn5xt/uE1ci0UZWsRmH7qn3//ZgiRHDamdSsbXqNx
6mvrqRbylxIVCX0UtYLa2/i1Omd7Qmc2Wtd++fiXvitTsvfVtFU5x/LGWnhZcmqNxeY8zOU7XfvZ
pOWVOjXfLBVdR9jvRZATmEKzNp7MFT3woCrON5qUsycXreJ/lSCdnNgjASP2Uuvrx/f2D2/hr1u7
GOC0X7BNhNwa/Ysju7dbB7swr2b/8WX+YYbmEVjq2sNjemKq/vttwzvD1qAtjZ8Y04PVtTuyYZ4z
HNmu3fd+C5+R7I9re6T5Dvt2dkccJp/MI++HNbfA2sDaybaEWsLftxAnXZeU/cQgQFRGcDUippH6
zie/dJ3k355P/rxrWiGOyilafXc+4XCS5aM6cJXEegpn67HLuueC1baZWv/jh/p+0uc4xfUMlj36
orr+9w/COeHAsO4bX2fHvV9C6yUu59bV+sjYDXI9KtjaZ2mc//Tz6KAzOeATMIR68R5BRArseG3j
G1X/SCRE6ppR870zrOMQ6T8//n3/9NmuGjMy0WlLIoe4aBXWirlQxmoaP5uTDEFRPWHxKhEMUESn
w5SM8KJiTkCd/QIED8FGpX3yNv9x3K4qLAm2D73sn4r+m5mjHwO0Cl3d+I1pXJM1IU5xPSRbvIQb
uH2/Zl7LlRBJvJnicse+9T4emv+5dLaOKc7OzP+U11mELl506oRlDTGp8eVUvlDFuZ+Fds1h8LES
1TNbu1vWrsWt5W8jQhA6fdaDFuuEfzmmiUVkkmJzgyb44j0MeZLjzAkbSIvD7CeDcuWkarnDyRP5
nSy2rdH6EFhS+msObhinCxQ30mW0UTTF7zrdcItZeKlBTGpQK+me0oMK3r9QNx8PmPeDkyIDUh52
JNyk0C8Gp0pVO6KAJli4jKe41+1j4tg7WD+juwzK+Mmq8n7qZCkBYcVR02CMGhdPpR01CJNJhkkE
o+TPNI0fpF6i0lU+295q758/HzkXg0onUTv+6fC9GYRJQn98Sg2ovLV2ULLqZdFT5EpFe4sisQHB
N2Z4kOdiW+fFkXBWZwOnedxXebbpVc7mhUVBPokmdF6p9a0z7WHfjSgYqiLXkLqxmRARfaKB92Nk
ue1KfCGbqpvRUvaGZ6nTj7Arjv/bu8IgQPef38Knzai6nI3HvojMKqoXv+cA5UsJvmUKS+naixFs
4rH4bF6+nP3/fT1b6Jw8OUheajepMicDUNHFx489n8pElXdtGJifjMDLKXm9ioGaEOEJo5A9699T
Mt1fkcdqvvhasGSbpYq+L1P8rTOqqzbHQN8t+ScXvBwaXBAk3FpyE6rO2We9oTdDY6rGiBpeOvta
aIUvAEI13Hf1q9aIHyJLG7rvcewmpVF8cl1x+a2tF2ZPTMoQ10cMfPFLJcDdpLPtyYd/2LgVqxA4
/kfKuKlLyp1+JMPdT2TyZC+/I9N+KNT4xrSLq4Ad0FLmLyRTI1ZzovKTRf7yo+S2OCgwR1lrB5FS
9sXzKGh149CbfaeGAx9MoXGogtABQThXh49H8Lt+P9dCz/HnAOQICh0X0006K/B/lBiduAwz7LxF
6FGC21A4XdyQU4JPJpS6wYH3Sidwi2ms9Th0Kp5RGluGh+1mY/z943v6h+GAT9hab8dmn/VnJn8z
HPraiLhWOvlJi9GzZS/i6XVbIV1fXjV9fkn6EGN3nEXbj6/7bqnGo8ciuarmmYLXQ8Pfz52aDfM5
MBZ/btPfmQmnm9Isbr8NcW6xr6F4uRqLvjyBGqDwkKSoS+u87n5+fBumwWXerlTrbaCygTmNgJqc
gYtX0mdgw8JeGXwjG/Wfsgq+pkN8Awuw3xF9+ysde/OR+qsM3VY44T2arXmPLWmTa050p9jNIcVa
fdUP6RqoQpfWsOjYuoVSNieAhM3WUJbyzlKa6KaCFX5IjUUcnGIZoRZmxVeZ13Jf6ov6jTwwDQZy
6ez6qO858BfEOFp567WTSixalW+ydsjP5HXsgAHqnoYd3zNHusEE6HwvyDY+CkphuHnEdN/lJTfZ
Gxsn0UqAstpzTQ7p/ZwthWuP6UAWYyvPdSkTNx6y8iZvu2UXQSzxo1okGzajWbAh+HS6ztLaOHd2
QjnCVBv7NI0ifUJFkchdZXX6Z9KTfxgVvAm2T5x5KPm9mySgKII5wRvuh4X+KEPjiYf6vbSqbz0A
UTcesewv7b7Gqh3Oyo9PxsK7ocCqjBOJmGTmx3fGOLwItkH+5+CP1Np/2lkdPGkiKPb5oj7Lxpk+
2Yy/639TCDNpbK5hxXQ3mfz//gLyeEHtDiHZr6wweIaHq7ngiOUG6F3wIx40M95AP1CozCvTvQlT
+Eum6MljRBTHKbRK8zeQSQZiMimnLm8rtDNZrPdgRMp4YdvEbEZvfLpXZ4AHToGWrLP4i1RQtbtK
L8XZaPt49/EjfD+bIDgEwa/+KQiY5sVHnYFAoCcw8jU1KHytqolvsaXbN3Y1MXZoqBzsYQr9TrMy
zf340mwE1qPn398y6wp2KagU/AOL9t8PlKgU8tkDyhBBBLZymyboZBA55QeNCI/V3WJWX0t8mRjD
wsk6NAAG0AXkSn4T4On5Odlx/AWjccdZMo4PRbvG8QYS48aS9sYpqUjKts1IP2gV9qJ+EuckstuT
lorsbI+Ck1MdFNJwka85+67Pp2GrxHN5O9XyayHEWbUysde0EmMENKhNBHd+cfJXvShCvruuPOht
q33BrIOGvXQqryrL7LqAaX/IgsbaV1Krb4HKAXZhO3w/zEZ1Hg2ttT3CSnJiVrGaHBQna/YEo2qP
pWqhNh0U3ScqutnjVau+4gcQuyQwC2DgvYVxoaoHN2aZeYnycnyibuP4qZGibg7mMvYwaYcJVnLq
C36lExvk5jTYr2K4MDeTMvPfg3IoT9jzl8G12mF5VdJeeWWfLR5bEsNe5VSjV1KAypQYe8B1J52o
vkIITjYEDk93uAWyra0HywFjbXyTBfZ8J4ag9IZKCVzYJRZ18iQRmwhtJkTrXgCX0gfVCV1bLtKv
iq7UN21d1GeMpF23hVEakMGWTNeyUsqNXLER26SKMoSUCor13Rx0PAtzbB9xPzWJO4Zq9RWBY7Vt
QUTHLq095yxiUV23RAG5KYS1b7ZeRycZRd02K0Nr44Sm5pKSFruDaXWJ30DCS9yKivJX9jIS0ibQ
OAwBMtlnS2T5hR32/qyX9RGoR7LX4jr9qYZDfzvPtunNKV3FRYzROcun5DgbWgynLh7pIeBGstVE
91o1Z6jNeoKmRFxHgar0iLPSaNMNjoluprWVIzo7+WsifaZlIwHZwgWvwodmd5S5drGcbcMztabe
dfDD9cPccCjeluZArwIJRsreXc/CxI1su96rzuT4SRqhd08G/GtmoB9g4Mc7w477szqb8RFetr3P
mna5BxsfwWYanCEmszybj4QlhncEPijeIivnKtVbtGtJ/CCSVFzV0NJ3XdWoz42jF6fYrKRfjnOw
bRtVrDzzoj9OTVpvwPQ7zym6++0EYvwbXKd6vxQGMmZjSSMwzHP+Je6LheW1mK8DZZigMCud7ao4
1Y+jDNA7L5YvZrvfLJOp8JGJ+D7RpupolJbzPA+DA8JDTvfkP+gFmV52fQ0RhyTiIfOqYbZ4Ih0Q
lyKsvYV62HVgzuTdt+OxTIV1Jl7AJlfaFhtEF0CQ47zvXDrCNtkhJOUdO9LRztJMmgc+k6+91ehY
gVZKMGcKZDkaMLwudY6qHSv7BSzFhihi6xHHHnqGMHBeJpFM91OkLT+qjJc5hKO9rZg071Pqy9e9
WgHvzlL7POeZeU1De7gG3mF911gFfjiFwqsL8uSlkqm2+/NOxzY1/YwQvnMQg3GE9TnjVKqcaNpb
cCA3bd5w9JvjAcyDMdKtijEXPkJNYdNQ2N0e+bfjxbFan+wqnG+UNPcdvZ1ue6iQ95AG4lMwJeV2
oLC/1SyERIpmK342OoA+VGmfak7DR0gOr6M5OZAHgQh5qtLp+8yUd2YOLseoUC1psZmgNgzz2yJM
A0SZeYQdBa/+ctOVi349ovkI3UKUbBaTVDqla0ILz4no1q8JOhlawFTjU6HUvlkuywPkYlBDCeOX
SzTUTQc8KUmq6pumaTDB/FkFuw5h2HHoAcRwfa0cfZJvgq+ZxZ8tWhsYJLrFU6tH5s9xKgqvq8fy
pFtVvMvt0SFmJhd4KqFcht7Ig3gpVYN7FNNQnGUJ/qYLhmOdtQeSosObwbGbbYEg7EjcVnWO08y+
U6DNbdA41/e9bS/fFngPX8zZmO/gTj4UY6n8MhfLYO6JpUcNDdHtrOYewRjY9Oalv7WCNhIHJRT9
fF0VeGog9ifCBVlYWTdVkjRivwyFfU8xpTouearhTrP5w2xPrKfBGibAIKqDqqvow2HC9teEd6iS
J2drdU6/4QmPkiOiKMSGKi2WJluvIPrWsznsIJJZ2yidQrqBtHcnD4nZcqgWiEtBVRR3VWoOeGUJ
tPKapHnKJnX0ogaCSTkG5S+wpNOXLHIULt0OIwj5Kfiig4eo3YjAnO2ID/cFTy8sM3NQTAAKk8Qg
5DRAysaoc06dpf5cMHT6/dBtAUThxRvqOvXSQF63yZR8cdQi28WBlWDURcHkscqMtxTHh29WqqSv
qZrHj2U1hdu80CV8kWnUOlTPWhsziyvLV8UYEDMZaUfkJn99vgfExnyjZgdSP7I7+qPl76WATCKk
VQiX5zU+mZM+31bKQFUkHCevMGSZu6S06EcRJfU2LIv+NJj0ZNJqt+TW6E8cT15HR+vOKDCnpyBw
qmU7kUlxDnBr/VLV+HtlDdZN2Mnmp1Jl7BP7bJBP08icQnd2nm4rgfvdTSvbeloWjcZlKdUzWXjp
wUnArBBdPT1yDiJnuUqzE0tq9rVfVMcbQGy7hCHmTGa515ThAxF3uMxFiy1ZEZ7ThsQvJzBcBmKh
h9q5UiY+1iFU9QNVR1v3ST2huyY6hTY3adSuIqfiflYzDYjSCMmTDuQ3AjDy+Nlql69zbETqlkW6
QM/arJsLY+AFtSVfJ4S44zxpx5Bt/z6fmpojB2eeXbPI22wE8OZasuMAE2k1q5yOscX2DL1habcK
+gg8E3u6HXF7Vzjd2AU5fRjthqiSh3IAcu5OcV7vxRRDiJfwQ9uhvWUizVyrs55zue5jmsw5mbqZ
uRBY7kYBZI+lOzlN3XJSe/TqnVnbjys+DLpMu7N6ttRKNogtGpU9MP6cCVQpXY55a0SU9aUIwFpH
9KZ6xRIsyNrvgDG1J55ucSs1lyQzW36u9JByInzZdlDAxivHFzPplT2RKdzyWHFBmUbPPKH0e17j
ZE8L1dqC9wvPsGLZXdvOIZXDRHac1t50yKoO/Vo0WkE8X0wzj0kjImWhhlf1rIJSRITKp1LmJcTt
uMKSpJaYwSeUvlNpedZkpwdV13d1nwz44EcMu0TJ4tfeGGHyyMeceVBYzyibbIIhq9RvZ/22M0eV
L18Yd3YgJmqJk7pmPsT9touj4iYdq/lWW6o23zZNFZ1nfFAnScPwjpipcreYQj0vc3LD2tZP65Nh
Bwt5eJc3bEdH02n92DJzz2Giu5NIdjc4geUVvNP6ftRD58oW+Y+A4OsTkDy2MmZv2lfT+i9UqKih
Z6hxRuZpKPxIMQw3ilvbb6e02XMGIgdzqKdjhIyJeljYP/H3nAa+ruNAt22t2ovuNcxfZyuWW7VL
x03JqD32Kd6HRA/IlgBGxT45SLA2SJMZq+IdhkHtx0FO9AdxyehxNTdhj6H0WrEP2gB+GZlebqA5
KOiN8YduKgCsZTSfCYZd4FyJ8UCwmv6kBGV9lRXhfD/EIj7oXarehj0c44GwdPq7faqYG6GOU76h
YToxfYr5ylq0fFc3xvwEoq9zE6dM7o0EsjjVE6P1rEEroY+XhbzWwyKFCZhbBi5ahVG/cHBzLceq
T/RI4sZ15hnJLXx9Pp4eKtTsCUiAWwebM0TbFsfX6Dhykyj68stMzGokrNXBkruEwcA+ve7M2zmI
dIYOYrZviZWFD4OSVocumaZyGwajHW4oWQx35Gyxs0swF5/rLhjPQ6lN21r7Y9CfA6apslnyxz5L
lKtMNyTL/WKyASiFQs2IGib6mk1vLJUbIJq9UolIuW9BI71OQ/6bTB5pbKlk6bx04DtarFpKRhUE
h/RGA06/Gw1pX1GKUohFIUpMpEWC2cHsMU8I52uUm8WXfFA6l55wvCvXNR9YG9uXLOahLs3MxEuW
kr0ZsIbucARyCGur8EY1i44t9hLvySouqOTKyp8ypT5PueMVgyRlsiMEi0KMvUsUO/YGekFzt8x+
PtfVVjgk9XhtlwY+rClrP0Rh55tzVv2YGV4bNbTkNrAVayvZNdLb72ac14DflVuZh+2OM0J19UdM
0xmN8NOFVC1XBKX6SlCRuTEbWxzxmVV0xiIbQXOFziXq7G27FJULatsj8dPatCM6wEGfIviFwfiq
pmGzzTReTjmax9qZz7T2xPNSKT+tIgmfCYeJvw+dqm6XPsx/9EqOvENNy9QzuuJ+zPrw2MoyupqV
gbndkCSsVjMAOmPUcKYUjniAgBZPXrVA2lDWW2pNCj1DdgXoEguW1Btsw84QeI0y1FeDre2Io6nc
rquUfV2ltU/iX39UqV7vJukER0Hu5i4EjLYRRaBuQsikHvtM2G5hMZ56Jit3qhrOLwqZvxToCSCI
lgadCEXXvewc0AnsGPAxFWXQsb7WYfeozYsJ2rsUpJGkeVT76ZjtGkoi145KhbbR5VGYY7db9Ibt
baj3PEW9NA7j1DcILmfTXYH8XwwtHQ9VpdSEvbQZ47dopE+FrTgpucN6hyByiB4XaURHRRXY+qeI
DWOQ2bRvKtZTd7AbdneFzkEgeYT2ERwCoYYbWGgQG6L5IWxj8zgPYbOJbSec1xpyfwh0MWwLPY+9
XCnQWKlMSU5W4n9S1aXyeGjljspACeOLcZ6QbRJgDrKCaqZgzxqVtMK6atLu3E8cF1l2PJLEhx/Y
sTWPHfRXR2unM+hfilEI9m5DIyg8KiMGkW0Z8LwguHJgMG7Mrh23S5Bg/VDIilrwioOSeMEUf2jN
6FcBXtcbIbaDByu1DcGjpj8tZuuyW3B2TVcdjL6PPPyRy+OAENfVI/yR3STUQyhiH8tR6XJW8doh
HTblGNaUQeaFL9ZJ/CqylG2pLlvq+yE9x3VFSGKyKaZ0vLITCoyaUUovIENqkwXz49zoxUa10tRX
FdO6FnoqPRlXV3qRxn4aMxRkhETWnmFSEMF9XSS4rJYwg4ts472Pc4ch1rHfnXYY5p94Ca9dmDzz
oJ5nme5Ho9nNk3ka+7y+rlmRDX9owqrexAGJzyjmdIctykKavdtbAABtQ5lu9Sxpj0JjE7QsiWsx
U45YD6Riu7Gezbf20kx3hJ5MlUumn3JvyBQpcJhoZzCFw6/YMaWniuLLQo+ydI20HSHzUjxxWmXy
Z6MLvSAO+l0yOcYPvifHXQGw25nBcsLHo3VuRbEI+qy2Iyu3Q7dn3gaZWbuNGPQvg9Af7UUzvBE+
/lki6nNReX2Jcy3eWM6covcSywlOYOZXvM19XGpiZTtzMnOGlp2QPnqZCDnPx7rzTWuXp6wNOUpy
amcVhW9ZzTBBIiX1aid+0gjQQ4wZDeBCup9YI7fMdgw5g8M15U3tVmqD5seJo15HlmHfwSqwzzF+
uY2o+mSPNi4/h4o4pJySz2vVm0yYsc9YH7L4OQCPzvKdynMHM/c6q8LsrNYNesk63Kqj/mKHAgpp
wd4hEJq8Nqcm5+Mazb1JuO+LJaZpL/oW1tL6l7M1QFjYTd+dUanuy2SiawBk0Q8WsRwpM9M/wE1S
e3Kyqq3Z1+3e0LT8DG8uuO6izPlulY3QEFaWjuryAKimZQgKGo9MGIWVIlLN+KmjyAORxSaT64dc
LBaoTJhVuB6Q9fMApHQ3hGGIf6ePXi1qIify5JM7i3dwgvRfnDAbz2QRLVb7y4FhwuWihLbE3HX7
IpnDG8uqxrNkTf5J4obyUDV6+juo8vlqysJqxUWk912nDgLXEBUtq6ZhP49S7LrA6mn4t0B+KNb4
ehgxeMpQbvSmtvkUteYF0On8SJR7A14iHZ7axSjveLsQTLo+jvZBwMYnTNTkymrCzKdVX52KMgky
n/POBLdiNk+BFYeczzvoS3LCLKdH8Ds1Ln3dFVNMB63pD0k9ZdQdE6RbrWFv58YkAK0eurOTmrob
DnN02wdK/pA3Q7NviLAYN3Ya0i6tEy2kBcH5aLqPRTEF29oRFNpT0cjXEAApa0VKVWnIJ15Tz5Yh
OWkd04tmW9l3p2GdWqyxSlyc5M5jbUYS3GkOLyTLjedi1sMvClsbq5wd307rUnMpzingo2v4WfPE
MpEvkE6qztKf41anjGZN4QNz/D0VPU+Fau3S8mdr8oAHx2WjJre1We8mvUkQHNuHMGYBIzLAtUSk
ekIwTHon+0aiNQsUTk+aEMpvwu0CV40qKty57i5Lb/iUtfcRzQYiZ4oCfFdI0dfmm6vT7jm26wOf
bv+jAfeDTXhsN9hre09FClxhaHTD1YNaR3B8U366a81SXjVCgalvgUNcpgyg+JB2h4gq9kayyBLJ
yRLdETayBbQqf82TcDzZT/qmZ6NnYtXw4EkPp7goq6tVAHqgXq94JN/KTUM6OKmnQ557kVNkXsSf
O+o1EgseHZU+SrDtQw9jwKV8NVxXIROFpgbiMe2J3lbJXvTnQRYRu9yQg1FrZwG7M1VxEa2aDKbJ
vqspa139OXDPUTHieSrEFVT6YWOQt+tC9o72WBegKw2jfYpb86jBJIbNg+nZ7qhZ1Zhkdlqp9Q+C
AL/dgLFkS7GagCQE0MlOHzJnb4z95Gt6R4BkU1qv5J6kL43o2mfqambqjvEcJptEgzSUD1P7M6BL
cCpoqh2IpxHnmR3PVb2Y1a0TpsmumMPb2S6SjV7M0fPHDRdtbeb83W5ZJWT8BNOCkYDO6O92y0gz
Ko0ITfNBzBkweEiilMJ5KlJq0ll1UwSiepDc1RM9l18sT2xatFy1kOrpmXw11+30GNrmzqo56mdq
9iTGpDy2Jb66NC4i6mvS+eSe/6EDL5nnEZLoJg1fGt5/37NBhQlqbop6s0yMpxlnsxdNesQhoILx
ayDUatcZR+vLn5HOh9TSNDjhDzeuK1jxLjj2OWNz1HyiDHjfN5MWSmyhYy7krlaUyVtRhq4WdbhY
Ye1Dq922KE3oR90FHDDdoo6MjUHIAr5CJftMkLR2xC5eIQIXPBJrFxJQyYUmgwhWRnQX19jLRXZ0
yqAGzjUNCUAu67FK9FeU8U8zemLPbpKBIwIbdUnDwO0A195mS5WhWpSvlB7SaxqR9nmMjfJg1bO+
WRS6bfmilchn1bVJ1QiaCZOYNjQ7fjeIb10q2nC444ppQA21H0FTnwMgkK6ohF9Eo7PLF2R7kvb8
FViK/Icy4xqwslQ7msRMsS4sJcduQn8px0QHdViGr00qQDYHeb9TklbfoCfK2M3kX22sB6E7JML8
sfDtuHx65clYwvnXxx/FO/mfhd8dh4ixus7M98pdZy5RjAKA9itFzpuxmXcYkJwzlfh0l5VEVHg1
0LVH0Mgx0036MxYYNvVEjukn/dB3wgaEFRpcD0Q+q4v20p458G/IVVZLv5t1884MyBgEUDze/vm9
/5O36bHM+c+Hpqb/7+CqYnUy/neW0fWvCYTRX16n9Q/8x+tkm/+ymHrAAv1xN74lF6EE+5eOowlZ
gIT9Ig3kWf/xOunavyx0yGhlGGOYDFYj4/9zTEoclIy7VcSIycf6nxyTf08KKmJdpkeEyCZcFg04
69+TUaMPoKSLqL7mE4ytDXuRWdykBkqxH+QJaJTSFcgOFN81EtADysPLZ7P0qrl6My2pPAA0GFit
KL2g+L/0xcRQUaK0q4YrwoJqKOFDYzoPRqiL/jBLoDXHadY1idMbibTiJslkGscs1ylr/t/QN7PN
Vzz/m3d4++8beEvjuOT/sU9CIAQVBSMg38q7++Jbg2U+ZuJKGzscHHZpsuFsYnscvDRJQybIZGnM
czvpRrtN88mJaJbkM7vwdoiT23pO09EzjEixjrJse/GJouSSTsdEgh17hQZBbYHG+0fs9EbMleqZ
oVW6rK5iM176DTRAfT7RrbFvlUnNq984UpfuBLZattsBftHoToZV2N/nNOrhUiPJuse7aQ+nUOvy
ZZvJwYlvx2KI5b+njf/KNbnU+dBrQPWFSYUJGD0gvLq/x5goZ8FJlmPHok7ZdBiKrgoOdWYDHAjr
qUOTaObFr7KM+jtQ0Om8SUbsGHskVV38iWVnvdSbwYYKEvmWtBErSwYe//D3rRAZHkyZKcYTJ4Wh
82qRt9n1OC66XHUfSfU1NvH8hZ+8qwutynpVdMAoZFCXsk782Vy9eVXFQsmVIxX1eFRyxPItTe24
0kxV1cs7gp8p/TQJW9XCiKddyb5J9WYlsYf7j4f0xSrBbfAeVss25s0VQXS58aAAGgG6y0/aKmOY
vR7SQ021wCmi6RNtkHz3nHFFAjnS172XIS8HZ07g+tAWY31SqRYpx1ofzP5gsGtAiA5MtPyEgbvq
WN++VvT36zdg46tjOmFq/Pu11kFo2qGhTceUwJp+U/37EYrI1E+51bIrbYgUXw5zV0pj//FDfXdp
w1htOwY/UuM2jPVJvHm3wLQz3SFb82gq9PF3tplTak4rjbZnvPBcFeA87EDZ1/wHI/hfv6vLZwxH
iqINv5yFn578pf5KIZ2ppWBVHduwFqqHQ5Mv/d/TESELjKSPfyjCqnXD/PYxs4ahX2O3s9LmcLCs
z+LNb23pDQWlUg27tlTAH4VQw36jC5yHPR0YQ/p81yWNaidfvMZJTB+yrHHKMyugaFLV841udY07
kAh+mIHYbqzaAGMalzbduFjzR60YvaabTLdqOlJFjVz/UjvmuK+pxt0jLyCSuymEr/cd3ZYgeiDR
ZawIwnICjAXbOp7gQh5VZcFn+2vIMuSUTd3/xm/QfK/oOW8p/mSHiKT1M8Phe95Xyk6qaXctpoqy
uFRJO9ACgZDHzqWr1Zp9YofZ7ezFsR8JSLBvKMcUuGhLgzJfaW05POdXzVRSwFPUJaJ0lqU8FJC6
LKpPOtEi9xFZPmR45ymBnjI5mtRBdrQKn0ZSlO6GUZt8c0EeNog+2JFxZ+7DtoxesRT+trqF0yvF
rdpzVkJPMCro/8wu3Tk4k71aNpRHeQxr9g7FYprW8JSVRKzSN7Hv9KR2R6lWz4EYc18zp5RydVU0
r03ar0UeaW0LGZSPIdJBf1GDYsPyLL7bozYTOl4jkZ7LEGqoTG9bbA530u6QcpiduLOLKL0fSnVA
kignzyYTpzgi77ThoMixuNN1YbgWd0IPIpzV1pOFqUYuegf9mwxEWK6ZGvWVRtDSkWoprLso6HZy
NlHDmtUDQTb6kcrC5DM5kXEO/ANaGP83ZAMdWg+FZMkTGUDLVYLv5DGw0+gr8gg0rEwP9BW72XwQ
dqDfKET+POcGxLQyolRT00E71aaBAyW2Z8fDUiga+mS22CEjiHwly7vSRdphmBtnmJMf6RrZK5C/
mRvwwGGCRIL6nMwf6lBhcJ0nY5L9sQzmH1KAKZrMlmyYZG4PShFOp8ExrJdhRP+NuCBP9pGi9CEF
Pavbl2rzrIVq9lOfpThUdjvuYEkAY0Ieeq7XOh7c5C1laJrJan3dzxNV5qqSxdNsLKiHHN4Q0TQW
3ZmYSpGsUrgLCOs1rR285v+wdybLcSPZmn6Vtt4jDfOw6E0AMZJBUqREStzASInCPLpjcDx9f6Cy
+kpMldhlvWqza2VZmZZKEhGAw/2c//zDpJazHTdVxBEwguiscTitk955vXGZmw7+Cl7zze0wnJja
5Gi0qrrDBe+BeB+xKfxc7uAvEUllzPoXYhb3o1NZoUwYMKlk0EM7G67hAU4AG8u8tcoiP8zJPOLo
XcCL0GLFqrP9ld2hiXAa8+Vqkl6wN6FEHMwKFw2iBsWduzAwzbosucniRF3mOHNv+24eLrTW1YZQ
eHAjwmXqhw6WhcF72ZrjmEBTr2IwLeZiGPGm6fxivTrdMBslqtGYyzPppHlx4adTWX5Oi7jUvmSj
qmJ+iT85JTF7Xp6e26Ct829GnBvfO56ceQ+no7+tVe24EcISKa9gVLruQ+D1WXzftxzn1SZbsjw7
jS7JQ9/9ZhyHkMBo4d4hydG/9cyomV/lQ7/cgP8moP+ZL/TISoRR7n4UZrXmDiRzuuT12EfGO3wq
oXJrO0PA0qEWzBPdoi/GPtsxMWPgUeQpVZ1gSl7ugrwx0+Mk4EyGjar4DaNF0hheu1lxTo3E9sJx
bgf/Mql17OiZ8GfFySHemolMU8xNfzkb4B1XkMc4VIBD/DV10OjZV+4HGD04zMXIM3HIH4IltIhI
EVu47LMbNl4z2ZeYjBAR1wVNh5hMJ042YgqxxC+L4v04V21hP5k9heOJpOPlUx2wxBISU+D+XLku
QXE7r8ti5/PcgfXviYXBSBl8Q54ADForiazYhSGxaRdcSKDPzGopl3hnGdIbb6uqS4rTgBpouQHY
9en/Xb8p8d8LpmCAnIEvHGJnn1E8DzYmaIfR91K/1EuZVhEScKe5gOHTAxkEYwsJpWL8iknyovOE
0q1Xk2HZ7+Ac1GdXTqa1q0Vn3ZKmyPO+JG1IEV+llV2XV2ejFGWRXDhDheYrhNI6snexy5OxpaxJ
5+EOdVfvbAxI6n2mQ0Th3R/RbW1rqJ1zNHZF0bqbJV2ESbRYoXvfCKjDA3210Vu5bvMolbb1cjF6
eyfpyl2TpYmXR/ZoF8Peca3JhxGb+s2lU5KPewpmTCDuidia+peKGNYByFZvRxFR5uWclhP/N+9p
P3O/2yaNzCAuYCc4PMppAnvfdMgS/PV4gnr0Yle6bC2mTLEjrSinK0q+U3307YeF2nQ5skna4haq
oW+ENeY67GNpm2SfWmkK92oUauFOEe9oxV9qxGZsWTFDxPi2Mw1d2RvhdqXtgQY6Eil3qdIu/55R
tvRwfErccTQ8JUlfklEjlElRunr25B+1LkgfSMkxtloWz0RvBd24n0XRHcmXikU4dDGKBcuZH51a
xJ8MNQanFulYOMHqhTpiuPeU5Q+dSLIjX6/eTTU90AZohMlsWVy4NuK4XTfoKl4HXfImGOYnBgQp
gZA24YZ+7p81WcUMmYCLN+Ya/UuC4p3exPUe/TVny0x8AcLuhkvO+gdyL/IoEIF3nXmjFQbM3yJj
SJ0o7XCt7wGxnU0cMB/pALB3BU4dJ2Vqw7bF694KQeOG0G/mIlpGXZa35EKVka8tg7nRaEUxGA/y
8sT4qsTi0emas4e0CNrXYutHcxnjQ1YVxsHCSQ2Tb0RFWTrdGwqdAfM2ZPpBzeAOxoRzMc69Otm5
012YFaNtnkl5Mdasakdyr1PCaf0NHp7Os5lAmrDy2NlAIl/gaA71UWK7+KEhrGfjW4069ksmtrXI
X+wFCkCXODXqGW+ImiUeQmNuUuZf/DphJN4nsjsMH5ac3172el2v8RnwFvOJTAYHUl7CgbdAROul
QcKjNoyflqntq+2aDs6ZhxeSgg+fjfq2l5PxHYM0/zJXtnVvxjTDm7JuylAwZtc3gZ5nuyETcsQR
ou+7bZrGzj2ZW8rZeUFS+V/sPkhyJnUqFxBEbGzMc0fklIAiTaPa8WsTAaQPY07BCYX7QXnQbfJy
aO8yDutTkmTms5U0Manlk3k0ZzyQmI8n495qfSOAss4spZAIV5CywsvbkI4L3zmR00MjMa6D3kdB
xbf3b2XXwCptiZf7WFd5M0cqGc2HzLT8T5mXQ1jqRXMrM5it6drYR3AAxVHHXwW31jUvbGFKVUDY
hfqiu+gegBonGYeDXcTfCMUL7h0j6/zQHVq4I4Om+DkAHlhJvTZ3NQavQKTlkMsDv9hnboHxSxkJ
aQ/hPHtYSAw9XA5y0INNa1mcW2OugpSRbZ8NoT20w6XK+v5xJPn4jixmDC+CblgeGJW4HChtSdYj
mWfWlS81XWwMveoY+vZNfnYKXvuT7yvxSdLwf2BDZ35iYKJz3c9xiapiaqN51ktooNM4Zdsk76wc
4QusbVvpLoOpSs3nxHITcciDdJq4v8R5bYK5cEi+QBV+YSrmyUa6zE/Vai4495lxNw4CMqS11CF+
p5hY93go4ILa7EQMQxQ/ySc4xzbc/d4Zw4YW64Fbi9GogtUWmaRqe5G+BO4ONrzaJ6moLzr6pr3l
DknUoY7vNnNfpuNVQH1402X69MnNvIlBNbSaT7NVy5Ofd8VlMRQVHN7qrHVKfp0gQ52J0PCvzRHx
gT4r52A3sYt11uRBG8iSE7FMORhTYaPwISztkpA4lpgwBT0VkopD61b9tUMywpNPozKHpbYsX3lZ
zSrSLbf+UmaqfXLsetrbg//NrCkw+TqDP2y1xbIHypWJ5ioL8oOd0Y5VhIl3kZElL8QRuidt4r3o
6wxNCaFIezUaPf1VLc6mLPut4bTPpLbCXJ99p4g0ZzTuXLrgiAldeqAnb7e1cl6YEKWRISokTUOy
66Y4+KDHpv5R0gNA5Rm80OyD6UpOiR0uPnPR2F3klrRp77MjYnGl5SO7jiZTog0Kc+PZrXeEdtDu
obs521VcG5W+RIVid5erSRLVj+ggVkwilPDMiKxwyxN0ZN6Rrja+2FOu71o70Y8ltmmhzOCXjr5g
/uxaVGN4/lo7y6GiWvhAOz+r4mjRi6+95aWkpiCUGUeNuARDKmQmMZx6d6Ad1YpkS9KnZCBrWNNX
NdmfWrsvToVwk5OTw8inyrpF6uh9p8dq7kb6yKuczkNslauKejv52nRLLnCX4SQztNem0GvvrCre
LpIYEh9TzFlHuEsWCKFUmiMdC42Icm+ymmAS7HiQta+alfyQ1x6TnNaX8SO1jxH5MmDgRiTLrW7p
5mfVd2LfZK0rN3i605QZRnHvz6UVIfvuo6KOnVu9cNDHF0F5hL3xBbfh9hYbduqoLh5v0BRNJ6Ka
E/Zsz7hANyERKNmCpFB/DPOmqqOMdHbG4Jb/wGDVD4VVatdZbt6jDjIPxMUCAupl6kZ1UKJ1YA/z
e+ldMAjjQ4xt9ZWtDJlLCnm8GdoRdtnklUd8y1WkJFVQSDYmjBGUZleoB9Ul73a5sUY7uJy71D3l
cfFMa5x/KGhDwhkG1ocaf+LI4oQ6zLVJcLSeUJSxTlIAiK44Vs2cb5VZZnd50I5XRA/o7WHUlRni
NV092p3WIqTuuqvVDyI0WnjGZdZpTwCnbOILpsmsaK84+KZGdPAsFoXsNza+95Mtw8XzViqMnWxL
cKwt7PbMZZTfW3BWC48Ql5adcWs39chiJIlDFM1DKvvixkSreEvGAXa91kiryHRsFZ4W5yCjNtPr
SRzadvwGfbOX4dgJt9mLmtjK1ivax8XL7Y3uEFQMt20xWH/z0G2php8cfm0VZiozNrlu3BiYoZ/i
9azVO1NcWHbnn+fRtK/A+qwPYjRz1DOVR7R9Gl9UdWLjT72UEPZR3FmbOTesvcQfaN46FIB3ae7X
14NlZE9BKXkBs0X/ngJoUNnHtKvT3CYRQF18Z+tSv1oFSibEg864rG2I+X3Wjit3oXZPbax7W7EE
0z6xtSM6fWOTlJq+S1qBpk9IY7HhrenyhdxruMKJNUb1PDaM4GzCxiHEPopCN58WsBix8Qb2Mep9
bpgvvN2aSL7lBryUdvDQJoUWFpUd3KLcbbfGRAAYWbrlwZg6g+SRQuynDt5aQgbOmkuCA3Yv4OFq
JWNe6mjHeWBELj/MKC2ARByHj+Bd0NI6n7RezU8unkY7EOAKUzWrh66ieYxNk0nd+J1yxo2mVc68
CQQ+rxFw4wBrtCgfiaCbxBeleMupjpgZG5ggLZu6b+yvAfGULxyWIxIoI7kUEFEiC9IQeoRJ2XeD
Df1wgy61uSw1b2LHNIexDS0/maKswZTjAsgoTi5j148jspta41mfktY7WGx2Q0Tb5TwQPTh9wres
n1KI7Qg4ashZhiu7y4GFPciH2TXGCafLzIbFsipPDV9CKcHzRKTzTGk4T9iRpMYDBpjBRm/th56T
9qz3RfUCVkLJ0SbaaN8U0uhIrY1MvymaNnQtPttpfO1h+hRk4KouOnrJdJSlvQeBgePiLnPA0eBR
Jl10Zsafmm3b1ueOKN0OJl3Mv1EijaHwMohbMOFrda8fyw1BwMHVMnjZEkEIskfMaqR9LqVWu2es
t3X3cagtsyAGC8UaIqHS9yIv02W9r0tf4w1cOp+fUl0JiJii8gsug44HfqtMHFaqsNYrOPUZH4we
IWstPHfa1/aZjTuev2ppUEi5iWMH3XFfuMLaGQwCxM6HJFHB2kOjfestegmo1y4YsoaFS9TlfsGj
LiWkgRjWC5JFR+/G0qTZh5WVZgD6jTJT/mYbnaKF0hO/YzOcoWEkRx+Gfn5gcuxdlY5FH7/kTpw9
YrZgAWnGC80jOX7CSzeNKTz/JHPiX69NS9D4F6RjmRdda8wQvq0y1cjpUVA3ANpxa6b9DWKrupkW
rdV3jWcLUJCCWvrYkcdYXfhaAvSN6MizDwM7DbMNPKXmB4dwYZSKxliLZstUIrb3viGJeKc0BSxI
ilk3jirDsClcA0KRgdqOqk468ALJv/h7FuepxjLwu5b1LU3QSIV+bPEjNmAk6662sgdLqb4vhk+W
+sYj28P97mF73hD2PQjWk2FAWL+wmoYbb+GKJ3ZxMLrjLT6OJn2pdBcme25si+yyTIlYvyCKnGvj
l5K4WKRauXlDLZQTTN0b3QezKY2nIsXKrCP9dip7enirn7dZQmvMm9MykInXWkZHXdhlEq1UMPXO
QEJSoLnfYXwY48epCCweXTn6On/zHHddLI6yHXjnjtFQPBEuSDeCa0W1SWNKzI/CiMkli2eFPshb
pvxkCuiPuz7O2aSMXi7WB3JNmmbXxa1Z7yiTVb7F2rZ2NtjHLfVNnud8T4IwCoDFxczT+lRmifE5
zj2p5o1IJrx6RvrEJXRZGgeOwCm4XCh1te06+LLPNfS6DhW6vZgEK5LEBXMJX+w0hk8PzOUHu6IY
KrnD35BvDdgRXBj9MPv4yZDJvUmLhIeJbYdRb2NJRbDLLHci/6LK6ziahIEKdOpaais2vrk71aPN
T9neSM4990N3TmLyF//kxNjGHKl4xnHZ/piK2q+Ptbfm3rgzyyGowm703O4Y947eocfVxuVSE6U7
bpqqlRC0hso3t8EyTvXVJDpRRvk8aBcsLqTCQw/fZeGKPSoLo2ifAmFoWqQ8t8BqakFxR6tpqgsG
Y4O3y3vfrQ+lOVT6bVo0qo7YCJ2FLEJ9zK+gbTkBsIIh6vNs1+hoRIUT5UKxTw1bBy5SF6ZKKIX0
YkbvDX6cnxxpZoC7dtA/jEGFSEr3XFYtMI0MwmJeGvHVxk2/jAx77J7V4Iw3ScUjOijT6MU37Jnt
gqK04XEPSV+pyMIt6cErK963pm1ppswlwbeXR/0ERlRYB2jxjdqh4yQPxMyIFI9wDTVR+fKGsUX7
NPWHsl6XBl5H6vnHyyl78pH54H2AwFguXlpselNMy6EejVJFqQtv9aoa1kxnMydEFLljVbs72YMk
MhRqaxOikcgvDKwdB2jOFmHziLtndXKV2SfXqNMb7JRxRydFbM4HCZYKpY6+UmaGPxpRPS3gj27j
wQ9n4Xo7TwbFECYNNE3CwbvkiFNI+90TEFe/W40DSVlrzdjNuXGw2PdQ/yzvxFCkqj7b/cA7n5kd
U7yirwqA06QpGc2Fi8WXuzHNkUfQIqwp9uZSJfvJ7E3iTsqRzOdNlRRduXfQjKgTHTvjYWhxVp1/
z8F2ihPHgFucndHPGxVh74WHCONfkHXNad16hwu1uu9UrS5N5ORTxyCiZ/8kf4rday5q6u68n7ok
LAJEUydnyfVuJ+1MU9NGto0Z32dkPnakDzg+Ar9moNJmn67i6bq0wcSugzlLm52fB6wIU8rM2s/l
yDyLfPgBMnNJaA/fgZw3bKKKrCnLk6jQoUST7ueHxQwyBylfKXOcHuLgE87SdrrhDSZuMvF1yftK
7EAaVYvonvUxo+2WIjOcnQEk9rnv/HhCbpmXZvjjjPgxKp2rtMy35MUZd07mNsmZm+Q0H2BixkAW
DFPlfatS6V792DG9ziyMT2OPtR46SiKCQkVngVmJhtoo3ZMWyIN7NSs92KltrDswGfIH0g6W/Gjy
KI8tTNM8VIMlxTe3N2MZjZx47D5u2WMiQB32qbBJr4nQlwqi1z1sfUflL/UQek07mRJWITK088xD
1qnZki7XDrUnWRaGiqmJNWNo2puJZKsY5FPO2l6vISNeayCfGDs2yeA/khvplGd7LuCstaJTl0KD
TxzlHIvjRyoiZ7xNqHyXm9gcrfGjlwwdr+/cjEc719xxlY7py22PSnP86EItglkXsJKId8KOxv6a
167SjV2mc0heoCRQ3QvnSYmvALesQjMHfr1oV7ARjXaPqTlu3Y4tVkAYJRsBBREtdDyj5x2Tzv0a
Vz0iYHJk0ubS752qSddtCjKepvvNkkYNQTNIcIyAgcJ0UXeNascN3nwTrhmVVY1bd+Skf+wJbpzI
MnYTXiqGAwEjgiyAh7IxgM2ph3svrcc70Zdj+4FmQsEpNCQCLq8cCGTMc7OqDi3i9y9Fr4ycJTr4
/Yphz0w5DnXV+cYV+FPVben0pHVKGJoCtvc5Y4+/ayQHKjBVl0pc+yCyoubogpXhSd7iqlquEhjg
34xMsQNorpFqMvQpKtvH3oHtDRYwjeU5ybV2vvPbNkuiLBkgGNR+zUPT88BpjkAXbXsg+irpw9KZ
i+Fu0alpDnpJ13MYoe3fM2gSB0xVFWHWMq/zy5ioG9WEiTsqhH6mlrx4HrPPJ3pWrf6cYBv17Glm
3n3VlRHQB05z6noYmaACpQZgZpnqkDYrM3lGZTGln6eAaKEnmPysDfTjafCdAcvcHZRM4/HYK/wJ
rUUrFjBsMoaoiNAKFmdkIoa/jUdo0XcKPItUrPXGHiyRafKyRrhWX8VwMdrdUkmzeHCY87PRF6iV
MQBJU1eUO4KcUYfIhKLrW5pmLjppoo18N6xVx0gRaQsdlTDShPta3VgdlCfmk0swopPp4inbDFaR
Lx+wlOdYbWC1i2c47L2CWIUKCs4OU6jhom9NhKs9HDtjHbJkyyW6LtO8QoXvI8X0ylERVTTRnsUI
dhupPjdO2WWgI7UznfGZqu3bETdalMgISvLvHR16cc6DyV1O41jW8IFaXfoeEZWFEtkxE3ET3OSx
Z3tX/iJjk1ELFYsLKNIa61svLU1d0DPgXUqCr5IPnqNlwRYYuBrEtswbXSChmpwerLBMKiR+gwR6
QYXZNS6ChwpOhdZeW9oojeCsNVZGom6GmVg/bBcum9XvkN3eUpJXBx0k8R6BtyZmSPYbFqBDTd27
Yz/vx6ZyrTtpq0A81Dk86ac5dRjaBQYT95ul5Al9Dkrczq9eySX/TS39qNqX//U/vzZDLXt1+5KQ
3vkzU9RciZ3/nlp695TV8n/cZC89GaBrWuY5I5uj/M3v+Jtt6rh/weHE3g1a52o8uVpS/+2szx/B
/PZdeIsG4AFsor+5prb3F4ZweO7bmFnr7LLQfv7mmtqQVyHK2Qj3YYjy4+Z/wjVl0PkrgciCo+w4
qC7YlmAPQdf6lUBkawONas2xnC6WOHhT9sA1d52oLr2M8YqNOdomXxTwmCHT0EtvZTFfLHXs7/wx
36dkM255+9ODk1dYGRgQSiYANFgSW7smmdbMqgu7WgjjRbPV6HdDUz5OffndRmcC4+VicNH9zuiU
RiBSvJPzb4RL4e5g3zMDWSWzM5mvQ/M5SJf7AMeUcP2HPAHQFjlpv/acPFfCzw6Zt4wM/fx5M1re
82KIl6oINGACNHXdiBkKBiFrEW584AtfWXb9mOnmoXEKPcrjmOIQLA45Yh/SLAVhCT8wgliwnBe1
LIe8LM79TCHFlJJPkOXffUj6SPdACROn+1y21WPQVNvaiE+S02vDXAERirfjfJq3lSyedQzM9lBi
k+1o1O2Pj5UJE9SjA5Ea63aNsv4UaNdza90si19sR795nJR7lSYY0AmZfUtj/2NCSXuGstlEGPTU
m0zq99hBtzd2FzOHthEozBP6U1SD0eDl33BTzMHbn/sKd4kKsTsEk+HKboyHSmiRV0yPo6vuBTYv
m6xw542q0udp8Y6Ln7dhbPbtViGJDEUMp3bBPSrF1ryqyxstWB6WiftkOjwjHMEQuA0fBtneFHon
sEXh+xTBQjMFBZUSHDKEb0DLGuSp9EPVTd2u8vzPEoC/KYdxV44umuCMHGNt0cPZ/kI9t/EmTn6D
rX5jNdlzTLYduEXZbpMBj9pA2ZTqDQ05IRQIPpX9wdXRx7pMazNDs069mIHHSYClL7RQFM+WGYI0
zCdEpWcJiBt5orfJvIfVpJiSbhCgb0wyJDYKLkBIIa9CLcBHnnJEfIwVd6fuLLHtca3CbYRRfonM
alPb8SnvdR37BjTPseBMsKkuy9HC2ExeKQ9IyUlZmjhoOOQrs9hdBgQeCovJMhAeBMd1MGsb9ePS
jhNTTneXdsYJjcctMMYNVq40VJ28WbVFSb4DDn/8aff6Dan6Df0WY2jMXLHEhAwIZdF5tQ39iUDo
1npjJ4OX7P2yBd5onL3K3QOqdupMu3yHFPqWd/zjahYjdQ41uPJvecfjYNCep3Gy9/xGbtwEObGH
VqSpP5s552hxNTm0jHJEllKIz3/+pm+1IT8uzqbqQpvDou4fGSJgRQBLZrKHavuMPIkwYE2FJoBK
vmC98ONBYPkYxCje6+pSg9D154/whpn6+gkM8mz1daddjZnfbLYYtOI4aST7YhzP5DxcJql77HCS
VHa5beLindv9mov2Ezt0vR7OhpwXa4gl1PQ3RURt6YShxTzcmApjI3voIOq+L64Bg9NNP8kcZDv4
CKERGZYz3ee2e5bts9n1h5LJfyEZz8XZzpH1BeX7fdAQCDhcdPl47zf+bjCLg9V2V1XQ7Zdvmizr
sENK5Clg+oX9qB6sD7XCFR4E5QjD+CmfYOIRJh7D7WM32up++uJ2mByLoXxEhQdfyDIuVdeg9tMF
wvBRbvPOiGIfYlWaTk+dFXysEnbNQrd6KNOLFo6T/c3r+s85ORYbmyNs3w4GiJctIKH22R5dbL5p
1HJv4h2T+OZ9ofyPZMXd43DCIuv9KwQHwLR+eqoxTGkwHmgJz/gh9PrvWuqdWspwqGn+fS11bmop
KKSe5M8F2OsP/SvbzKQQ4k31bMth/Aly+X+KJ9f8yyRMx/ddg/oYWIzK5u/yyXD/8k2TTE1KGgc2
EbX139UTf7KqJdl4XJ+UEHQQ/0n19I+cCF4vXF2JqaC6o1oP3tD3R38S7mwWczS4lviUj+3yBe7e
frBLHQjfnozTpE3WhwoDrpcZ8t5NBoXvVFu5dmqTafjiouK/wId9uDBJ7ANaN8tbpAJl/qOZ+I/W
3/+dBuz/3/irdXP790tt81Jmy8vPy2z97/8lCPP+gjzPsUQ0/SrsWivxf4VfBSToOd5rnnuANe1/
1egoxch3Zx8HunJeC/j/WmXOX3RuyGrISVmdWP3/ZJFxhZ8Z/sxx+QVrSBriVJKS3jqUDybAP0E3
Yi+19OinfpTVPbjJ8p8dTT8ug9iR0BPiKfy3yly1dOQULUrsB027aKS+AzuOrW+Yz9yUdvGO5udV
UPvTwfTjao7OlRyfsMG32uWCr2TE5kKqSO9dJQbwQ9ZNnzPN60OvwqCnt3HroZjc2MqIej+9yUft
keCVu9rLziQCH2cAfzctdnEintFlfZRCu/9pffymMPpHiMLrjfdtagWaJNgHrJefpRXGZMXmHMyC
w3Nm6Gw4odVCqW/BDyKoJneMqT92MCacRLttC5PhpkYFpeXzjZ1jfmXOx0IjKbB1ShOuYQMtZK7e
eWivBcPb+8gaI2+DFm7d0n79jClc2qVwoYxYnk353KmNMfTYdQNO0EedNLv5jGRr4zMVDBdsWZPU
lhur8zAmqA59OuBEog1f0r57nOr6bklqEsCgf+CAbG7/fDvf9JmvTxxCGiuYN40a7I3Pu4aW3Ss9
7mZi2tUezwpsxaCabyw4+CS7egfbNaC79zX0wOm9nIn1Uf3jNrk6nSsNuAee8utt0ge/JZWpFfuS
kgBeEO+R9uXP3+/ta4qvPKfJup7RJSIBenMJdDp461m52Fe6fzEoccicYm807jsl3dsKml6d66D6
t3TeHDR8b1Ylco9K5XUq9n3QvyS1j1NukWXbxiqJUay8co9iANRTlUm0ZEDCXd7f/vmbuu6bu7l+
BAP2Btuf7tr879e7iTbew+lN6/fIhiDNZfm0ZU40olRRaof3eU+XIyf1kLWZthm12PiSFA584xI6
vO4ULUGbVZm9jG1ZtMwBGn/ljM/HRSEsMsCD8V9xNPE49wTLdsFViw/72SF5ao8h6nHJlzZiarDR
M/yDi7E19sbgXg+tNuytJNGjKfGusYPf4XoYf2oaiS1knlwGeBIc+BiXmo7DOFNG7LuMOfloS90O
Z1h8DP6GcoNMA7NsYm3tDPWfg1FJOPUwYyCmX06FVm4nrzlKcPvNZOob4h2SMJWF9qBNWrHTg6Te
Jvb8bFd4vhj4h/uxroGsHyxzMrfWKINL5LPvvFivUbs/L+71cZDBGCDaRczJi/br42iqwWdmK/o9
junplmFxQUD3lIZsDbceu1Y9ZbcyDbI9pfZcR22bDnuv7u1j2ln6y5A598NgTdfTAJ20YWXj8Vt5
e1E1auUraHADkrMYHQJLEjZkvrL2MPf8YdsnmA4hIHiENqA2WT4cOEScCOkIcQq6//3Py+53L5hD
i77WgzpP603vpBJ9dhbBDB+nGu1TiaHKOVnERxgNL3++0Fvk9fV+cnRTb/KXbb3ZUydES30zyH7f
6mVxqLsF/QsMPE2BarFrMeiQ21GUX3LWwTug7+++o0vhavBiQ0v133xHjLPwWcOgGUfjpnhBB3YG
nzC+xJDr3rnSm0503UZQPazyU/ZV6x9XihfhyBK3l/1SezfO0KFRK+27hDLDXmw0QO23//imuqs+
26MThWy9Vli/HKbaGNdTofd7XWaw7JjlGghPM8eVUdwaZ7swQllW73zJ39xOLromjBj02jzNXy+q
NeRpzNnU76vEKqLAzS/tKVVYo+G3+eev97tt2TXRb7EtOshe1z7l5+/nTBpCiKLr96ZHNrsqnixv
WvaBM8BA75PImebjhISw00Udiqr4+ufL//aLonSlkvJMj0n4r1d3O3/0+oB10wM+Vg5eWBCWRTe/
8y1/s2hcZLVrPERAkszbmUQwlK6M47rfN4s57sylvs9I6WSUiNCmND7C9Al+NM7/VlD7D8MY1imp
PGQJuKA2UCferhuj65e517q9KQPngUlMuCo+0ixg91XlrVKYI2qW2x7dKTG3vtnnX3ziUybpNjvH
nZZjqv41Gfn3H2p9Dd/suKvCl06BzvSf1as7aLjRJCkPO9Z30sOirfPVUxt87Umqh/Eza1tbH24w
CAEKlr54p+r77WMgMdk2X4EkJgC/rDUvxq+kn0BdnCm/lXAwYxzATLe+UswX4Xwk0Z9X17p2335d
Cx4aFQd7Es4Lv15PuVrCCQRpoVyCk9k1DyBA7zzn330li12B9YtUnIb+10skeO6W8TJhMcZofGdL
/LFN+Jm7yVCfoQNfDNo7F/xHB7IurJ+u+DaqLgnSGumy4opNG29zbNGu277No6oen4TTIgPuMdXc
243vRB5cXodSbnCLL6MwrzBYPAQobYmoEU9jZZ6TTqv47635kHvZy5/v/u/ebZyJONnR09MEvimc
lcBMrB6Hbl9o+b1XzufJwts+Tz/8v13mzaLChCt13WHs9q7odIzyizApUT3F8HHe2UV+Uz66P3+h
N8upKYkkWaA77zPEEJBht3i1XZeDey+r+b2n/Ls39fWcA/0M8Lp4c6BOnm6mdik65LxNCVqPxCNw
mYgbV8J3zsSpH7WiPOi4Ju0Rbt3++Zb+7r0h9xqPCcfGh2Ad4v18JqwpJpPessQqs0ZxSIrbs6jm
9h1Y+72rrH/+E4CPhnA2UyqzPa7yIVjBViXvwfa/qYh83TIcUAj8YLhnv15iRs0fo8Fs9zAEz2Pz
v9k7r93KkWzb/krjvrNAHyRw7nkgt5c3KWXmCyGlobdB//V3MNultnZrn6rzeoFGA1WqzBBdxIoV
c445fHHH+V6Tya2Igge1JrrAcsNzFcrJJZUUPe4co1racZRvYXc6yfSi2gbzqG2VgjyNebovKGv3
o2Dyw03hq7bUEA1kBvRV8/Hjx3d8XrDUSHR8mNqWZEIKz6N9TjJOwaiPOc+v0r6WdfasIIskWXfw
tTD/NNbpF7OKf7Z6VqzbFEtFjsX741/BPfHxs1emvQkMiC3+MVCijHm90qqotqXVBNu5yX4gKr/v
ixEwNJEVC2mW2FmR3dVDYxzyPB2IGIHeEps4q9inrmimpHcSDvRWq4tDKFFElLLPNsgHV0Zl418k
WnufmZPfFJynNuV8jdwn3LS9gsonkhdaODxNCtJROJsX4+im27aV5YqcqnQrjCD2NaNXV+2g7MmV
mz93ccyeLowDv1Bk4eU8MVsh2BsUB+eVOiJEUaWcNBrpwxBl2couzduqEXtI5BHaO8RHAOQ0n3Ce
KzCA7aWpInDW53jdteHj2KOqr1LjMDbjZeigjUsxcfpG6KDzmFGMoopTVya9BXRus+TAMs42vVI/
2PEEAxBt7T6YjRuIc5Yny7hYR+lQfNFmV/ewj17UeTNs5YxdTTrOZY8iZTPBufDtCkWwruHSQH+l
HVJcWEuj4mduiddYptfA/faxQuBpKF083GVjXSznXPsSh9LH78OJZdJRKTI1+FUqC/LRtx4kheHm
qJK27UAUMlIbELphdKfK+DZ0k3v+1Jm5+tSAbLg4I6TYWPYKb798gcJGSaK62hYdB6JV5uAHjVR4
q+nBmXtENm1x5hLftbT46ohc1mnoG9RWUNzeDmk2aArwZZUUmbCnamtK1zS+kocS/Z7XF/FLRzd9
a/cpoUiudZfn+Y+qbC/51YqrUEedH5A3tNeIXltZ8TjdcHpVvJrIRzedBsM4AS07nLlLp2YK5B1L
sJLqgibTjibIycnTyXXDaivBjziiOnSjgpc+j24co5J+4wjMj8mMD7nWf/aK82A2Q3dmrjgxVTgg
FSn+2YIsWo6j+zag/m5hR7Pa5L6Vod0YWguetnDOXO3ykh2Vg0hWlvkQ3hkdh6M11ZDkqw9gzLd6
mn+1E2vDhuPv2qP/WGEv5d67IRZJDBm+C0fn6H7SrSAAocEvlA76kxwa6UdF8ZTB96QvE3tL9WOH
xp2QRD18/IWdWursZclRLQxwxrtFB+2ra5CfgKUyPqSO9SOrgkeE4LcQR2+t0pr8IumvPh5zeaPf
Xa3FS7xsJ+gZHT05jDHOrLYaV5tajT8F80Nt5WsRp+4GM/yZwU7dWg4S6Acvpx3vuhsdIUvl6LjV
NrPsWyXpsO91uZ8a9kUlygvFFA9GbT8kkXpGZ3DqxnJ6gWXA1gQF0dFbYw12VComUtZe8+j0rhF3
Jx6hOotjRcOdtmhh0vT54zv7a0d6dGtpUkKxA/VHi0xdPprfiqO0l7mEKcuos5vuTUXip2S7Zkrr
1SA2x8MJApZ3zF9ju93RXiJvN72AZdzDU525LcKt1zRV8004QDAPG8NySBswrLVSMt03yTfTrOgF
KhLIEI7WwjYsX5PNg0itV/xEXwQEjRV5PJ+MtAMhruFwEqmylYqLPnfBChk6duJEgvVMnQv6NL2H
STxaJW4arRtZO54Qjb5ZtEyrPq4fPr49+vIdvbs9tNKAHLgGh6xH35mVmXblApAC4JBTTAkFXPKy
Aauk6uHQsQ7mhG0Cs99hWqoDqNf114zY4hS/8YMKGbXtIrkWZb635jJZawIO06DUCIFj84vtJPkq
CWOXGIboXKfsxMIEywyBJNxFtHXm0YNtQyuOUhK/tqU9hv7I7+ORR6ZhTRnDS6fiqXZYwM98Oyc2
jRrnLJwJcX5soyQ52otl2WihOrDK7WId3XSY8UmHpANRsS7TAsFsFc/wj11LCTZVFmv4vthZJADc
PQxZnxCUv45D+wSqHymWOt8lFeTEsc7qtVrCy/r46Z5YlZYiwTAg3ghAf8efXCXbsBadWWyBO3lN
mzwaRdAibkdfUePdWP41vyZkDQ18Dwcxdb4b9EE7sy69n3A0DcI68j0cMqgMj7b2Y4JLLXDITVWm
9CKb1GtVBaUjp3UbYQuZ3EuQyr7lyHPbzPf7B4NKAqUkTU7TZQ1ZZqTfvn2rGWMr6El5hxARQ+tw
t1U0w1ZpHV8NXxtoZbyl+KA7TIZnrvndWnw09NE111gqolzNWCLxoafBuAdNfTlU/ZknfGaY45a4
0+tZJOqUj8Dtr4qso7kqwUCd6ze9W/CXq4FFKphHF+7m8vPfbmSo5nZnJNzIYTSbfQCp6iLTzHx9
5nV9t1dfhtEdxBmC027WibfD6LODZUNLSs4pUqwv5kNkm9d2HL32rntLoAncjyy8qJt6p3fOXxp8
0egKrFkC7fXbwSu8QWwGQgavlMOiXCLM4PuUtphHqpe6hW6TRBkU5sdiKvdnLnyZNd7MwsuF/zb2
0YUnihJHUcjYIQoky83Wjb2c1LLpmzDh9/1jbSafR0d5HGV1CQrwTMnzbipdhjc1wbklHVZOPd5e
eliIccbkWGx75zWadA+16MVQ3+gZ5lTTPTPYci3vrvW3wY56IjPOUzbQotjmRQPYQfdQbK4GUjtz
aGAf39dzQx29toHK4SFbw2ILqwGvAWxaZj+tv9dpyv+VkYCrsyxoZJgfzTSQOqra1vhAulaY68rG
YslR0chWdp6udRvbzF8Yj6NmGkuOjlHqaBnKOZFElsqVkfbbbQC9hR4OajL/mlxfdaORnXlDT97J
38Y7ekPEkPadnvPQ4rC6FdpwBcVxXzutr+rt7q9cGscLhkVF/O4cBY6NrmUJhj8YyAsmw7x2JeGF
WT5QHp47TH9Xky5v/i81KFIUOPpHz03ChQxcd7muCb2gbYM1wgbZue1a1vM+ydAjKManjy/w/arM
yT39QIDv9JbQ4x99AWajKmobLA+vixd7uLKSQfTa1vlaC6u9YuaXdbRkN2TTumjFQ9Y3ZzZXy1R2
9Am++QWOvosO6f2gjnzvdYzsJrN3JicUmTPcf3yhJ1YNXhl2cLSsOTw41rpmtT3DOuPmSkzdB2rz
2gvT7tyrieDq/eXQJMQMoVIJovc7mj2x5TNtp9Swtq58jWM1QPGd2xsqAsySxVoOanQ3VSNB98b0
baoSDm9p+a1SAm5ofqkPqVL/dMqq9mJH79ElJ82+7eivZXX1AKPC3oi5wa0rL+rSuEpG/Q51e0lG
lw02WYv6DaYnBakqYMyuH1WfGl9BO199oj8lL6cSiTOYjXETNoV5EeQLhc1Y0pPsNgXMSgYWzqFQ
dUmVMlKSbPvc+Vn2ariDV2Rdln28I0Lotu+M/CJlpBWJZjgQBvWgdYYDk8y4CIa03fTS7W7nQlkP
vZvuepJqtoXg6tN8/l61qXkNle1zSH9rNXLmi+ku9ETe9lvyjD4ZSZZd8pC+Wpk9PrTsjv0S9pmn
G9UMSrLB0zUFYmdXJalSuLT2Q69gvlPa0tdx4HfzuCsrMnvcHAUvPsD6LkpMZ9sVIrgxzVzbopJD
smujsTAtdk221q7CyCK1NVC/VLJ7HJRA8YxCvxEBUUDwLwkjmnRr00AEQG+giy/RQsmMLV1e5sJo
afgp0xWBSMMqSufgDo5Y75O82hw4LHf8mi8MQpdqe6BksVFGafoDnBI4YH2qrtWG0nPxJ0/4rfF/
tdbaDvXk0rHAoKq5uW/UyFqbdqvuhyK8xEvA2U+eDft4gXcWhvZgTOFLkA+JlwwPsWYMB/BT5IFV
Tem3TvqtMLPqup+bV7bZxNPYLikI5Dq45txuDaKj1kQ+7ga0BfAcx5w1MJ28Reizcwm3IqhU2/Ww
b13MRL7tEpsXJom14tjY2EGsxh488+yGAMNOPLbCI37V+jxVJqcamD26C8Q5YwMFLthkCWmdfrIk
6kKoOAxNLEn4MClo5rrHNpHrWy0P7ZUg6edgdnLc5fQSsS/XzToJy8+lg1sQmyAxg84w3EHJDNgd
Gh3xesFVhXf1eVBC6xASy3PbBJWhkIiYkHDqQkSazODSdhRzFZjmAAiwIQqFGy/XGLgHY9ODn613
PRmrVzZc+4b2cQOjTgsmHLIR9pUw2kADk3ddARkXZ0/K5GwTENJDt6WfW3jWXFUXOUcVe0WFbSNl
sk3K0uaPl08CF6eWD+WLRcDTPkise/bRQJQEpY8HL9Td173dvkRGhaUFyXHgFZMcfpAwTlBaZg59
fXD1enBWCsRvoJ/dYzxpO0HDAqN45LfBuK6UAcCHSyI5rufDqFtfRDSS5qRqS/xvBlRRiPkGUWDj
D6ECjIJnMhsdO+RaQnrXOnZsqNKDzC8WZ2Wm1QSXJsowXJKC+dKqgw11gfU1N6zEWGGwn5HsIy/b
hg5ps2CO1GuRSwCJRtOlXqVNkiAswj426kxgGz72ZvYrXSJRCsNa3yqiGxK/akahwrIsqxuF9Lkr
kbv9QS4Rghst6Yp1bivyIZ6I4zLB9EADys34G/SXG0GmnT/30l6XPUjUXg3UO4W4RMMbSmayCaTE
JSH0+36Q10YUkp1eF9+tDj6zX0UxTs3anRtfiS16kkEW2HtNWiGUq7QhzKqw7lMDrFLLDtqlC3OR
ptGAwT0wV7Uy+mpq3kCBv0WqSCSsuYmC6rlqku/NRAiycJULK8vIVVN3Ih4OZFBOnsChvhIiivyu
0Z4BrtGWUZFgdE5CJxm//ITMZjvL8sKxs7tZhbDhxE2xnuGfrth/fEaPIFd2YRNnr2rP5Mi3sEHC
yp9C49ZZvFIgIbXtGLW39Oy+A6cIvFFOw6ofgPdGJmlug/qkZ/xrtxU/GagDrkeIWN1fBFX8qejM
1UBQWzujxGy6Z2nnz5HKnhyXGptktYKr3T6kjnGl5EXqpS2G7lisB8VE9FTf9635CjAz9gabqOwZ
vJYd70LujDa5d0ob8Ik9uV0jPcVWiW0rNo7TXRVgzoQDXkRzBw26VQc6r6aRajfRZVAQt9fmP5Ke
G+g+RaXr1xUxQkW8ode9hx/wM0jCLSE8V2EWXURWtx6d7oeaFZ8wX6yiQRsOM5kwNEup4m1EY4nx
IDTlgtXf19iUTrG1pXl+bYRftLElCzaInvvKvjJSsVhuk9of0uIWPsDOtZkLxjAr7hWNL53UzCej
J69ocraaVd5wVuzbfWstXq1vUR/0zK7hNUlOKzPWviimvDMh6+6ZZzzQ1l/5pr6m/eQLka4JJyxe
XRp+YZRfqE3jbEP33g4gBmqj85KX6VWb21dALjM/6Xkdh0bZTZl5aAMLeif/YjSC8jYJo2xF0t+4
EhCQif1dxxQkcNJaiLCT3fqmM2/NWt6nxfhjmGR/qDm7x/Qmh9Aet5ENcOHzFI19TMCQCS3qLijF
GK3RSEI9i9P5QAfz58dl2Kk2yCJsJ2WI1BIKv6PNQjASwKZMdMoSvbkUfYQeEJ2f80UfbiZdvUGN
+xSaw65z4nN76hMbS87cafeqFlIZTq3ebixriF8KrxHcMwnEM3J2wJz8VHkos+HaDexbkjH2Abnt
KA54z+0fGrjiqRF3rSYuZvmiZsqqPacIeF/8otK1ed1oCi3bi6OSfzBLJQydrtgSkusP8LzmvPAV
1KAf3/X3RanGRYPkR8sHt+9YKZWmeuAG+NR58cHvxcBiFWaJ+b4fSLfuwTEARP14xPcXpqKeIZ5G
p9WFVmT5+W9NGlONarTBdE8Gy947wFoptq/Iwl59PMyJreByLo7phRNIwzjugJLVqQKH4pn2sjuQ
WLLNIwU1ZLNRa/3MFZ16cxmL7q5KArtmi6MumlnaQ9IKxhJ5SQEQbOzpRS+eTFlBxC4kh0KGuZpo
LYN3PTP28le/2yP9e+hjIWaZN0ERt9zNKZsuwpjzA0CoLP3VfgDPjEEX0HEkDqDF//xW+/drPv5m
iABVmhzmw9YI3EcIQRurqDYdXAd9bA8fP8pTbwwtBIcvlO0Tovy3b8w4W+lYFbSdlIKtpqHdsUXB
CNfdfDzMiVnAsjQCOFFF8hyPj2BCvdTseQka74bOs91nPQMV0Rm7SKbrVBF/Wh9v0PMmzY0Zh64z
m8+3VwWDVugkmvEdTPJgq/0hL3tl1zjpKzG3tBC5vXBojU9hHR1swNMfX+yJe8qgnFw72Pf5LfS3
o6dRlsJrKHl8M8mzdjsRBCAwCzedZp75Et9PMSreo6VfpyMJwOPydqipItNobGrCHPvZuqgsAoPy
XO85fBjiXWoh4pol2CJoGPaZY6MTO/vfRsbP+nbkSimYGwQXKaRDFHBOWq+5/fg+nphmlh4Qj5Fw
PLRHR08xnGGTw/cvCaFoLwp75+DZZzsBcP3MQCfezgWxQN8ORSuRV8u1/jZtkpjeRFBNyq2TNp/1
+r6Z0u+l4qxrGV4IaZ/5uk+9Htit6aLjEuFM8mhFnBVnbICBcecAEjatvWkA6i7W8Y/v3okHtOwP
dTTkJOFwsPz2opo4m8EO8skhSfjaLNJEy7z7C0NwJECzHncWHa23Q4wQEtQKB/x2jKcrm0gAT2+d
x//dGMtL8tuzCfWxsCOXCQoimc+xIwGv5w4dTjwQgpeYAC3EDKxpR98rqpehop1BnKurYmqOv/eV
uYvU6S+szvz9ix+QjSqa4aPb1Y8OfGCbcQoxP/V58tobgA1Qja8/vmWnr+ff4xzdMmGGfW1V9PaQ
6igwgvvV4DiPNR39j8c5+Yb9dj3LZ/Xbo1GGyUCDx/Vg8bsj0e5OyaNzRwUnxyCn6pefyrWOLQPd
ZDe2CwSc7Wuw7gJ9VzfnSozTQ3AySQNRMNkc9WIrZ3JGZAk0gFvlkLTFZd+fC6M6MZPRakTUgY3Q
4lqOJku1JwuXqaBAzgT1JOiARkevNXiV2T13nH/yagTnc5S1BvmGy89/eyhaQww4j7/YjtQnv2AT
CZiBjx/8qctBHUOoJS+ZI46JAppbpm6f2sUWHdK1q5S11zv9xoQxS6TFmUb1qetZij8sdQC0hDj+
OAn5s9xSZaxWvZuXpItzM8ypzwWXONM+AB5OqI8eTqk1wJ2snocz5ZfLrnJhMOQiPqN9OTUMEhQX
/QtZoPjS3z6YDAGJEwYsMoaAGkOmat2w6wE28/Gz0U9UrSyXguqc0xMNLf3bcWZ64U6Q8QLQhL4p
J7qJ0UbXBAzreiUqa6MkKNBcsWoba2/RztFCHdbXl9SOvcLWvLgu/PRbDq3EtWbPrHPQo+42LasV
9fChGMwHWNVrBZJ2Y3SeRqK5ZZ1ZIE8sx2+u4Gjdl5FECeASr521Bt3l19bUt4laXulmszb15sw6
eXI0Cykbhkqez/GeKXQ7NRZQHbcEJxAgcEMQg6dEhAWUP2OSbD5+OqdeAiqNfw12NDXnI/Y9J2Yw
NaJX68CK7YQn7OePRzl9SUuyIYUhKsqjCoMgsFY6JBpsR2si/9vxRzWC0X2JiNgvbfHny12mzn+P
dvSF9j0956pktJnsNWFMW0t5ivQz5ebpG4eOA5IJq+eC5/p9Wgt6UWd5hYzFUaa1UtypbrlKm/rM
pZya2KjY/zXKcmN/mzyzflalsHWO5RIgru7F/At+QqK7+b+8nKNXvEIc3U8GA/VGuXLyb5n+xar1
My/bydcApZLh4BGi+X+0OWCtc/q805Y6QG6V4adh19sSSijtLp8EnzObrpP37t+jHXtp0C7EnRwY
LTTlegzd1YwfdHJ0XvE/LT5FkukuqykyEc4Vj18Gu1YrQ7UnXgZV97EibHJHnLl3J9+334Y4ehNk
Byi1V0beBKGv6Co7ZbeKwAJ+/KGevGcYdik+WdzQ+L993zjPiQnb5jUYpisrUnFukFmtsis+Z4I8
PRBRgSw9sB2Ot/mhOYnCFqyiLUduoyBnQ2v9VoeWkz/+2Uuit0ZqMsUB573vWlCFXi0ZP5Q6C8XK
MOq9lJyQ1N1Nwsb746Her3QMhV0MwRDgF6a6t3ev16tI67C8bQNFbCD1PyF/2EZadK2kBNcblxzX
Fkl7ZtD3LwaD0mODXIVQF63M20HT2c1IxZ2pFtJ5rYpnt8yuczmcef3ef7qMssBkSK5jr3DcOnQB
8c4i53kNybzGUsIBYA697jnudboK9plndvKa2DbTEcUR/E65XmMqI9eM76lV0hVoum2mcF5IXsTH
z+vEMBrtND5Yeoc0aI5KU04hAdsmU06hpftU3JdcuVd3xZmJ6H3FSL+dszPwt4t74HjLQNKeAjLW
ybehVFNCImGEPpKUk5xTiZ+6HPxkwhWI7W3U9m/fhLDos7h14VjkpflgWtVKG6xbzC1/ugBe5PUG
Xgj28ehTjuYIbU4zIxNGjoI0bXzHQiMZK9aZ9ejE+waGFYANslb04McyydYBWzS2c77V3Wlt6eVl
rrqX/VSvdRgshAa/fvwmnBvu6JrYWg8B57b5th6mDUcSN5CcvOUUwCVbpynll78wHMQRl7cPcMax
WaGISlUnQIDhKqhijrsNrHkbEXOWxQ7YN3nm4z0xLyF5YQa0cUawPz56MWC0RkRV5PkWpLc3asS5
zDVBeYAzrWuYxaQtiN3CHf74It9P8b94dv8a9Wg27Gyia6eyyLeoEfwqnlG5QTWUsJlz++8f8p8i
ST2WOf/7r+XPfCvJuIjDqP3v/3rzT/8z2NT2R3n9kv+Qx3/Vm79Z/vevH4c/ytVL+/LmHxBAxe10
1/1YOK5A4v7+W/zjv/yf/vBvP379LWdIZsvm8z/TpdbZ3x5esv7le9n8jpha/tC/EVOon5lkWRcN
enKLTOkfiClX/YPuOH4ntLXLYvY7Y8r845e63eUPsd1mmv43Y8r4g4duoDn8pc1FVv3rEXDxt38/
yOC+/Ue/zXFyPceCBr+DSmOKbrImlnF+r37JoIwnK+6tTR8BXAkhdtc2pOQ2PeSxfrAX6H9apByy
O+E6Ftjaq7TDBoActqyf04JP13ZmefvbPfzHb/m3ostvsdq18v/+H0yWDPvmGAYupcZOlivFxPFu
2RDmPE6sedYm6YPHjq3BQzoq5QthBfOutYiTJdnJatedS1aJJ8nXMPy+X1CjWt7ctpDkfTt2Mt2D
NEqGr9QVkNkFmSVfSk2Cg7bBIEJSDceb0BFB5Kv4iXCOteOKULXik2Zl8Vdyx4p7aRszkjxQ3HdI
p/BGuFp6UZXkqIkwRBpk6URk5yMWCUFHfpWXQrw2rZusdCsmk6WYejtZBw2pbN1yqkSxpxrPUawY
wrOsdPpcJBJAPzBS9SoKJJaRes6Vu6SZ2rtcy63vVVzU5sqdI73yOllDHSAA0QSc1JNthGNEhkhL
5qzcGZlu0Y/nOsQqs2Lh7pKRQ3cY77pdeRpi/C9NKebLUdfSTU1752vcko3ht0qGrZUMBZJYyIwm
d4l4tZc0t6ZDkOVLhFsxfNW7KSBxUBolfx8gfBwShM441XdiH8jatowJ7E1aLSIvHkCOwD9sbzLd
aLj00SDTW42SNQYb9YAUflsM7aFICeOcbeenGlrtY0gOQ+K17P9XPTx8cg9HHQAPR1hL0quSXBdV
fmuiS/6OoWREf9XYycxerexbqGESxq2lZOqnECd7QL+jK1/KUaroZ3o32rUFzmt1aj+PaV15iVko
uyxPK6+tAES2cmhWQaJ/yc2W9FvcJYqXWMp1YC3OV8JLwp+B4VhY8KcEopL2KdUayPytetUEHalo
jWt+7ZvoK9IVYjcgiwsvaSFdEk8dhV6fQTWrB6S5tYi3RlwdAAoQfIoY8IrG49Vkd9fh4mARaU6I
Re6MkptCm4WGFdSZXMmmu6BW7Stg+MJbdIWPVIjpN6vFdG1NQx5vLcJOWl4gx3meZ81YRVqikYg+
Pc5RGW6wCVTkj7cByRGFgxHXgM4OVFiO67BpDWLSIwu5XZY89LjOtuQF+oSUgDt22oV8Xvy0B3Q+
yqj361Aqyg9Lwx80yu6lKZLEU7v286BPd1mJ+YnMAZpJWt9dRhhLyoTMHz3qvtpjXpGXLotVoRmv
xM7lvhnZkHt1bC9CinVXZ4PwAkIxoC130x5gCwilqJKbwpXNakCAOLbunQxS/vtEKx7T2v0hNV52
MgnzdVc2t5XVpquy0mqvlLyniqaEM1AGKEhzy1aYmGFh9iTbKcq6MrVxN6Rh/JVgLvVzY+rzJtSH
QSfFsiq2qU1EvJnpd6Waln5FFAgxfVq81kd1uGlNMG5Zbj8BCs7IMByNV5qXtuX1mjQ+N0SO8QIF
TQcyzkkrvy4SlxjnyXb9XNdum87ia0oVk3d1IrrFKnGCKTAmWgBe5JmhZGzsqSdqUdEPIeS7dRqY
mZcQtcOZt+7ei6AjcJt80nUzma4fK43rTWYoN2WgEfE8pDZKg6iQ7pM+Cu1SwQvFBETKz5pMMsdY
GVCiHk20mtZqrpnOr1WI0RtzoixSjNiQZE6Je7OaC6pnEbS3oxWhh6tr+Yz+KXgYJ8ITb/GbIIrS
EINFSvxK9BlaCnVKD+4wjLdZltgPnKFZ5J4N5nibxhExLqGGiG6WsnwIKzd4bHsx78y0dSEAtnKV
mgJHsUqaZ8KssUELEPv5NCr3Q9+miENGTjdxOCU26kW0DUSDu1j6kvGmH0btshyzagI+O5IhP9OG
gLYj4VPZuENnawwOlibG2ylJ0OUnTdn/sLrlC8NNAesdPLTvjkXws3OdKr0NSOh6bqA08AXblf1Q
1EJql5logSt8vLr9apW/XdzYD7H/h7nMSSBEjLdrrpHQmY4QR206JTIIQgzIaxie5nKwvSquDdTF
86M2o6fqim8Gj92rs1KinFUe05ikLIOIyKBMOp9oQo8kM3dlWnnukYrwSFz44M+y+8lJNAnBMjks
j+njX/8X/eD419c4MWWHgt+Y47O3v77dCFmFgcmv37F9dDlO58T9KkR3+QuOvvhmbbe8zWoytys9
3pJgYu6tZCQLpF5DUtmGfZDvkA2dOaF4t8GglFkEDcsBqA3j9ai/Ziq267b0YTciq1ofhcMTseOG
11pa54W0P4y23/26Ff+/Jj5TEy+Sg/9cE2+7l/ZH/pK9/F4RL3/knxWx8wcdKQ7BBe6j5VCczfw/
K2LQvtTJ9An4f7amy4/+ifYVfyBYQVu1KEoQeCzb1X+yfY0/wBNxigeDEUGEjSf0qAT+qCQGMfW2
+MTeTr9XZ6oBHAmC5PgUPR3yFBFykaLoG+N18WthWZYYlu1bAmOob5blJ03Cn86yIJFiqCzYjDsE
d7skmZqVvixfsMZCUNj6tA+sNNzrqWCdI+ZyHdCpGmDKE/4aYk6CvPeqz/D5JrOiyJuGr2USp17I
KjoXVocG1GSxV4Tls9G9S53+M1FY8LuD4UWrBoS+KUWKGJ1+XU8TWdBD/dOiJKR7ZJPLYJCNBXhj
C3MRhCpyN1hiLPCym+AcObL0uohepCd/1QjaUi4U9EE37aA+hkspYcTCIMOe8qJ1a7VdZaFZANdu
0JAaQku/TS2sjkmbjA0/tq/0fpzuqqTCRWDAYNsFy8Li/KpuhoApCUrItai063EpgYAoFxuTqqj/
VR45UB+SgAT3X7WTMVTyovtVURVAVLdENFhf66XoapbyK6EOq6jH1ADldZ6mNjw7JfyJAZe6rXLd
63KRtHcI5MMVRIgvTprJlQYXzkuX4i9eysBhKQjTcMAfQZSbbOaNSSD7pymfPmH54th5UMOrIury
vSS5+aVsCtiaBESbBOla0ddswAhRaLMOcCHt5cEasy8IuKfvlqjlZWxm9h6RNQE3tSJf9bJ+Ueep
MJc6OWo9YdSWiud67Lds4TsmR+EOM9LrQfgJ0dj7wVLcG7RnbMissj6IEqsETcj6sdWV2K9sqXix
C1Ku0rPPsxnkeyfVulVPyNeFIwf7OyVERy6pnX4nqSam0q2xct1FdmEoV+1QEzHejjpBRaR65JfB
0CrJ2rKi9DD3VmL5/Rj0jU92drbiaIsA8zGsi11fKqiwAydLExoaenEfhaz5Hgq1wVMHMfulJdrL
ObSMSwT892zukOj3i/K0ECRIzREG3MZ5tofs2iWwY1KMiZie7FlvB/ZOU/VE+SZXRjM9YCU3H2iC
pReijAo2MHXKZqSDZ9P5aiSm6bnCFVR/7pWsvLJqw9m1DZWJVXTyeVSGeBNrsfjmjElSrbDQzw+2
TAO2tDzAMLSnZ5WSdDMOefuQQDK5zHMreFTL3N0miijgdoyWA2ae8KQu4ZRbcE5zn5ZNdjPKOP9s
THyyWVeql0KdE2Mdd1NS3ujToPA+5Ea8KUiNfia9Z7ztCl2piK2vcWzQbwOpZedKsu0VrCCVJe+a
ZvypBoTrTkOp+aJlY2U7XbaaNU0D42p0h9gh3iKK8pssCD6n6rhSeqHulOGmLsmPIAQq3SOXiNFI
5D+6cRjxjhjFhuD4TZ5g4iS1g4Rl0ok9hH6ubxbm+Ejwn1cEiS9Fo6+LPNx0CSTjIA6v9UR+D1Sj
/dFGDerD2CVRziOACUjahUmOlPIJQIsTxZdNqJD6el2ZaWxN63CQczKtJe1ZTP+2Feic1Mmh6p44
qLqY2Ul/M2A8fG/RKXy2ysK+JfrKPNQ1iNamJfZEsfwubB1088RtKM6c7eraJE9sbqBDLD73uyS2
vrXtBMZldG1fx8tURL27zkyNvM0w6p9IljWuC+UeJvJk+4EtqhXQieGqI8fWy9iuXLpOGn1J3Da4
gVPaXwVxHl51XYEHX8cfv4kaZUlClG29loqxgTZ1OQ7xZRuIC6drSm8ci1d9MvYY3SOvlwVWz6rz
9Xgk1y1oHlCvayvpqnfWPCL3LwjmY2vmG1ad+jIZx42S1umhrL/UY+THS6JaiFrxAhCdc9tkAZyj
qOpv3CRPPYXd8BNZmh1oTkS3Hn5WKJ1aoipeywn+hq1W6pXqKEYvEILmn1aW8Rpn0mpu5m8Zkq+x
knbqqcbQ76uc5PcijoyfvYBeAW6NGLl+ulvmTJqT9hUhLT0EDO2C58XRu62W+5hIPM+qa8DSqGQe
7bTeYK7QbpxMKXbFqI7fddKqN4OU9q0bTtphbOMHaQIKEs1UPhrkr/sltFS/ooBcoeweoH404Q7e
W7jm/a18LUZJ6BWt+pA1SnnfS9oo8Vh/VhUnu2j/H3tnkhw3ku75q5T1HjLMw6I3CMREBudJ0gZG
SiTcMcMx40bvHH2x/oFZ+VJiVpUqe/esKxcpLURGBALu8O8/Nqm3BV/5zj61m5pKI7WAFVdN5P56
9IbS0iKa5Y4+rke8W96uLMWO00GGKy5/SmpSfiqbWYxz8gwLPqtrBGXcj9PUbXJzCZWKTw75H1/B
vknqRRUeWnGu79xl3BP5UUbV1O1jWmO3oggY+wwUe2b2YOdDsm+oFif6tpl2vp35u5Zn5b3XJQ+x
3Si+5taP6A6/G8bl8zKM2d3Qpg1WqJFOwMEpDvbQik019WLX44eKOIMQgGDj4MEmhR2wukym/rKl
KxC7kOmfB2lNYglRRkdYu/lcQPQdCKFVm9jmOaaTrYC7ebbCMvDStTc7bGFhmDsHHUWHduPrPfBD
N5e0zcRXWWxcUmvuYdZqh11mQ3b73kCZBrW2GxAsLCELO1WXgbdNyy7t7c8LQSiWxHbV3NKqSNVc
6Lamk9pnlDnaA/U8AuguNGejFlvhUQz+qOVJxjTpD2Zkgkl0z21bl1dzUF2VhrkzgSGyvHxk63ZC
26WqrRs6YztJjRw1JVJCb0zgmsF+MjrTQaAiDlMQXJhec1OVKeFrw3xhVTZwfiJ4AroXSJJ2JHxF
JS6fVEdYockjWmYVEp9W0jxU7tIRk6V84rH6DJaD62vCAUfRZzhzW/iUKKq5UZy1IEf1jq6jGJgw
Fuf4746lkNsJZ1k7qG99nYiLZAimO20U1xxFbyUW0J1gRjpoWaVHZpuRc23xtHOjHJsQdYkI/i0/
zr41lTDusGIylqznNJHSjTXGzoMz1iJySG6PkqoP7kaz4FqOwasT9OVFT3FgOEz2N0rri101eepG
U/3AQyTuavxl6QmlqU5IQW8PoymiYJ5luu3pPseG3uMG6cKqEnK5UCox+6jzpyq7tFtg6IusbwsS
eCxnSr2jFtAtGwoZz9rRnkU6PGXBKINv89zO+Jj+My79OxQC1Pi/mpd+K5Y79d/kTxPT+0/9fWRy
9U80UEAEICRD5uXpQAZ/H5lc4xPoPb0mxNJSNkvA5h8jk/3JWE0oiAzgy2EhmKZ+GJlQka8jDoQr
U9Nfaqp4V2X/CAkgOuZ3wFSS4oFW52MMmpodHBIxDc2SQcClxDLYtpNWU/wmgJAm51vhOg25fwFx
bYYaHWIAWwLr5+pcOl5Jg4dj0wreefNNuZa5h5ikaD32E3Hi9ixPi6sTsrfQ+tWFZiz6K3NSJ6sI
6KnXzOC5jCUxeMRn3WqS6J3EB7m6aGdRkM7bIXFrLbdaNsTncybShpnNxmmGx8Uvb2Smk4Ol5+AR
U/f39Ny/hA78e3TY/9zuFabtf3VrH6rye6+e2x+RgPcf+R0KgMuiMQHLlM8fP0EBfvCJJi5uXe7g
DyWJBq0ttHLYuB/W+dwzuOV/v6/NTwG9IgjtAaZWUs3+K1DAn6EuRJJIz9AT8P6g+z/oN1Hb9rnI
XHc3zeO8heYIbXyr552e3lhai2mYHM0+dikM8AG/m6d4bNyzJSnM44CdZ0sbPIqowtoVhrz94Tr+
A4rsnZ3/cckhKoZOJAeEemuXlKcVDftBtia9djQ7myPJMhrxlzwuY32jFVlSbmrLogN9bJNp6xFg
dwQI1/NTTfADbmrSs456rM13i6Suq7H69l4TQ7vGYrZ2ZGsGc4kxUqXddQbBRYmQ12m1dPVKstmg
01VhEpmWggT0VRy/mtCUuMaFgoaLOWKcNJukoH/9Uf9UtsRHZZMCl+AbMMiVWMnCHz5qK5SFQ33i
iE4o5/1U9t24izmZYjc2iCeQvcSOry1HXyNhTWm9/FI4tTaEbAHMwJRWyAutM9Mriadz78eB/x3H
qsHEUf/Gkf8FNtVChAL/vwbd8cdHEaYAwhj0QIp9Oi7TdVp4xYPvBFuFRe8Mpne8GtTsP0yCbvFF
DfbVEtT+MV08dI1Vl/SbmOTbYxdX8txd5nH3i+u43q0/3TK8IR4EPEOA0WCkP1xHt5rcnJHY2dV1
291VXTNB3ur+ZjTy4lDIbHgEyr+y4Qlwh0OmOkj7fqHT+S3M6cObAJ9ds7l4H8B2H5YUHkJ0Viqx
IH9cLb8g3DehDbrw621qZ58Tem6j2crnTUsLIt3nrb3x9SoLveRhgfpE/1ka51mzmEybo37SHLKv
mnHcWMMCsZUM1S2gUu2ElTYfXLRHO7d0zGtLOuN+sg2Ak/Tr3CqDvFs9fSTVMQ85oWaPLWKHTeHh
yB8pSVbaeC9cUV80QIGhPZvLQHRhL++FNQpOwYmJcnyovGckVIaA1THzXazRiYlLeSgjN+7FQ6FT
Nq8r/URKz+KH42BDZJT0PYbESAzHSgWZFiZzp29SpM9PfczxGgUq6ueCEEUZ0rMd7IJB3wZGeo+T
eYqYSk2DYBr720iNylffyJqDbAjWbY3OZdpJCFpRy+SxluHUtmPuAO/VYixeNS03No2ROaS+cH3H
TsWhV6cw4wPim0c97WaGaEpYFkKPvwausi+1YvU/4pPYd2Yfb+sYSEo4U3XQ7KZ9jrFBpoUsTz4u
s10zD8VZn5kkGQD6hcTnqmPRVpdTmRWMXY1zKjsqYys3d8GEyAasB42GUXftnp2N8kQ8oXgNujzb
mn4zHA2tvrMoqYgKBdYJi7yDox/3ej8vn728qtHGucEV9ccKkeYggUnbIPjajfEX3x+vl1kfms3Q
O9Z9BdG3QQ97L8epziPhz8F9Sl/DW5LXqTiftMC9xOI9bQJCUELPLClp1bAFh3PGtUdGM10mpoDr
05RZ3LkUp0dzabh7R1VyzzR5Nxd1tcu8Jg6NlkoULC15FyIuvxciDSIAgbnfEM49hXlRUV0q+RIn
sxK7xpiMIwiUfEWN4GzoDacEcvS/zGQpEo05fslFoL3SIUXYxNSKa8eqvk4CJtOtuMgL+SdbN3Xj
PVjuN22GkIun4Djlo7qK5+6F2dHcTEHtbEi+0DbVYK4ds8PW0cg3ocih2S5p2UaSG6loJ/N8WLQb
0aQ3eey01xkjrK3c/phni7VhNcY7u4+771nuXDtGvOxpNr8s6LDbCYRUxKt432jGJhtiTNYcDx/F
hizooQkk35gp1cYkpzyMRWwQ79Ga59MQizcQvvaSvUaHrO2F+WVcCMepjMzdGXE1HOSCyG5TLcqg
7yeZj2pUIBd18Mqjug2JkOg23JPjVT1nyy5LZXc/55ChSdXY1w0RnSVcIAEv+RDVysFBLIGnT06j
siJ0SqnDX3rTV+JSgheLNspjOgj3s4Z45ytpjnY4B7Y8xQX6gU2fZ8RPSSoDDk673FZmsFwSNFMQ
oWq5V35TEis0PyUtnCP7nXNqayM5kKYX77S6sh8VSSZ3QsRnS5wvZ1VRxDfZhAajK8Y1acc9GGuS
ckrHLBGohpkesiAFqHNSX6K2qET/lrFGv5r4x3zyM0wwwGRKDqsXfJd3I7jBnBIwOFJvnCzpvlPk
zYRgTfVTX6bWMS1GlhtZBn0+92+6s4yXDM9q6yyqXCgdzZE0JG6WXgdtq22gRD6n9XxSMaWdomUb
I0umCXXA7DPhFoT1U0R/PrdaRs964j5JjFX0fo5TeV5hAwUPkV/aABGJ0sQtNRnNpZ0k+QFIphdh
MZZnhoeSxfPH4H4scSCz7xq3rdmtdcttu3NdwRFKn4jlQq0i6shJ5FUiemtXefKpQsAqI0Mb2joq
hp78TBu5dJcMmhnapaH26dK4+8rr1JlutVg61vmfe6LYoBWtklBLchdhBmnpsi0iaqXEsTCa9POY
GvJBz0r9DcZivAB5eUHsK889J6iPdqw59xMZSVGZBObRGNO3wG3u+jwg6zvoPy/vJyqR1OVO4IO8
SKjnOmZIrsPKqr2LxoN3LGlhvUrd4qZYOlpWK6Amw73jMSXOLGuiC5hg/WMeBDvdrOozV42n1G2v
vNmxtiA7lzUIbKi1lbPJpFJHry6AfO3GOGRy8c7thHrtQb8p+7wnxGqsQ4zzuBeU6rSbgVxZshXm
eGNNcop0JcUuTuOXkkinSLTkt1NOmR+SOYEmGeon1STVs9E09YM003wr7b6i9XpQUdbbzh7pF/Vs
uZ3iybWnjUUkzcHNgoQFapvbKRjE0RaNd2N3vojE0uS7IscKYBZ9Eea+sq/6Im3yTWNzf/PkGw7k
0GTnFSe+hzkoSR0uvO+TqRHEIR/6FK+CMcfXzTDUW5Xl6dtsF/1FabvFRRp78uBPTgmyFY9IbMj6
fC1bmb95ST9eNkOTRKqm37ZERYAyo9SvpzSoWxznWlFFJvmnyG20GuyjHeIpC9OkY/sy8FP0oZ9M
A/nv4DFqp/Vl658rSQrXtvQTFATNMOs2qoxBM8janyoAJ8KTcutulp5C7SPjvCSqv2lENGqyNEOn
74hsyuGS8n1fW8W3kodTftEM6eidu4WF+cPwiav/Tp4RPIXEuq1vdG6g6lDS6WPv64kK8Tuw5OJk
xHnP/hTAhQyu03WXhBFX7iFp2lUohP4wOer61Lg7c7TUSH7SDLelkRTFkcdrAeHhVS8Me0zeejWj
sQio1b0zK85Xl9zmPQOMIsR8EiVFZe1EyNDE9TBp2SE3tY+tkQNYOpyIEzaLaDHn9sk2cuOhV1CL
9jDkl3Xps+nODu3isgie9ayzDkhwrG2Z+h6exGFpPRZsLbItpCbVf0SdwYLhQNtYvbC3/TIj1xva
ZKaLwPJoWDHQYmw0fZhg/MxqqbaCsCPSlCoP0rTruvTBw1GtXRd2b5OG5SbXvZDZbkAWtWWX0c+X
XrcuLJdm4Xys4i+epDhv25leVkeDN1TzVgjJ3hSoFPXCVCO2AVuLz7RCj88yQEc9cu22PNalO95Z
g92cmX1PJpqpA8MJSf+jsvv5hSvAOa0v45ozaOreVk0Vnwk5cDZbCkoZTFKWqPEaXurWlGf9ohlq
o1bAwjRj66kCC/3KWdva8k+WF3SBy5ba5pKgFq3yXq2yE97Gk6195xXjnVrpsb4qH4tGVVEcyCfJ
dcOFP4WumV7SbffUriTbYlscWFfiDT/DtDWz9nZoButUlTP03ErU9bRuhl2pZ7B3blPeEkcj00NK
FCv83mhU5aGOhxhZUpJHKa3malNSu+GgenLSs0J0cbq1vX4oTnVOmpET07d+IF2IXC8Rd615I5eA
JspFquz7GBA9pnO8/A5p1JzrPrmfoMHFUa3UpYDDrFYyc1o8SdKbW99rFaXwMHXNWT1Q0LDaHq+0
IYUS7RTk6FzDk6bvnKmx0qfuO5OavrOqiAdhWE2zfB7HsX3xg3b+TA2Me7Q9KNk2U/P3PE2/TCtd
W70zt6KqUWVSePHVlRUD8KKyBEdgZz6n6B+PMHfJRQfgdZDxQHSEch6slSgee6rxVmGhsUoMy3e1
obsKD7Vu1SDaqxyxpFyQfCtXQIQQL4liEVc76kVrFTIWKBpRpKWXrN/ion7XO/a8/QTy2rKwa8EB
hTCpnG1QSRID7kYFuskB/STMjX5GPTyaymCVV2ar0FI4TXfVrOJLrgQ6TPtdkxm/6zOnVaopV9Fm
jXqzWmWchVVpQZit4s5glXnqfndjxQkyzhKFQaSnZfyUvYtCtdLv9rCMdeRNfXE1VygEIFFivK1u
SAgxYHuawyUMg7Yh8psWBJiQKfC1CIWDsTFUoIV2rb3mQz9dZW165LnLLheX3Zt8V6jW3uAHh961
Oy9SWucSuVR21aF717bm+RjAi84ZdU1Gt7TH2q7bC675W6lLmI1gdg5W1eobaO2tovU09It8M7aW
OGpO0N0EenEzdjKPssx/Sppm2dhtw2HSUs9Jm4yUtrK+nAHJUjzlN1maGRcTeacPvrnggrVXiW7y
rtbNAzsmWTwodiSJTS/sKAtJOFmEXgNVMKzAkRmr3qQ14GbgMqO2vS+OCRtwFNNrAQcLLHne2VnK
zQ/9kbgEvwWBAENa1cMy9dLHfBTpxmk4cnL4Hk7VKjPmSJed26v0uOmm8Z4WyGM+deicm/xuJpM2
NPNi3sa1yzCHxK18qJdqisTkDQPiztZxCbbTrLtuylYWhDBXZNB6ocJJmepckPIemg27eTAbzuWU
2uZa/mRtW5PMLp44EAsp7iOFT2RXSepeiObxnuGVHuvc9S6pVk1fiqxoz4sxGLdQnYIja3tMEJTa
mp99iYnHdPZ6nibHQFnpN6Sx7ZOY/HEnqW175GBL5XDQG6e6GMbnfmnV1TI3baRb+GXXd5aJY91J
i+LA0uL4QMjdN31M4J6MufZ3hXK9YaPzMCC5Ds3jao2NAMuBlVMzfX2HT/4SnPv/owGCBsUfcKbV
ivF348Tq4Pjf/+tSfntmsfQ/cRfvP/M7xmuizsLbQGg+XhwTouK/uQvf+0TyNGDQqiQECFt5hd/l
Xs4nhHwURkItIIf01wyo3zFe/RMUCObj/ze510dQDKEZkUHAUbw+oq8POKqXUx8J5NXuGIoakBPH
ucN90O2suMx+AX79SaCI0YOsLpSftovA7aN5rHKt2oEaUbu1S7YpOloAsj2s7r2t4vPO035TJ/5T
NPLPL8clBy81YX/IgPvYlJDVuj+THKt2bm/d27G/tZCFMQyn9KHN+cWS5skvEMYVQPwJ21u/ZL7h
tbmRwJOPQO2gWkfNPa9IPfW6CzfbaWi2HIt/lRDy564gXgnkn/Qe7gT+/0FC69SVSkt/VrsmidvD
Ki4hkQ8FP2msycyjXWTnjtd2986c1ugDBtogxzt+09fBrj8Xs7svOXSYoTcGS0jcyJVux/XWNeNj
ySZ26/RF84vclD9nmq35L3oAlsU9trITXLsfQOzUxEGbB0m+S7Xuwq2a01y0114SzMROMKgIfYgG
EP+wYGbZLmM7/gqbhpj5+ctZ3wD5+iy21Rf+0Tk7MUxjxvTJpTIU2a4ljPB5BeO+C3hGSU8rQyJ3
joGhbfxe29AEfCLK7mxKnGddH8+rZNI2nb58I9XrVy1K60f/6baBwAh8E1Qa3Jxl/WEJSl9gQ6D9
fRebGSGT6IUY2RMLS07XlzqgV40f1qoBLUfTIXmSTADrF44j1/94ediILJNsEzYVPLF/CgRaQXhb
ykDuCs52b1o6O1+XeXbEJkCJc9RMTDahUEt2Xcq8+KLF6j4elyWKtRLgqzTHYTvUC9fN9J1bfqw+
A3DRdxSK2DvLG+77uEdFNyRy47NCoqCu7plpjrOTZJ9hNszB8u9t8sC1LTisjfKARK8RT27qmdsU
QrXe0hOy9Cd0hFD8UDH6i1t33nCbWLnx4pc5JpmYqjoejFrwRTWye2r570mrYv0FXHGsUTeoxYtK
RgzETHMDP1HKwuS8Gc+7tk7R1feKs0TitqtSUi+JFC7KS2+cOS4IuuNooGNUI360j5uN16rsuSV2
9FFltKCxDWXWtpmmZV92+bzDGabtydiopiekpka6n2N9XjmQIQCHT7Oj56p1qCSD45Jo1Wo7ZFr9
WvBi9xZp1G5Y+n5+Eg3N8HWmd2/mjIMpzAw/vszbrsKS0KoTMbu6zeFybpww59hghnJY6I5Cmpef
LOV1b8IcoQG0Kngqg3itoJu04nPpufEl8bvjheFRlDUYuXnMO5k1oVbbQ1TWtKxuusynCVNhNz4T
ogNsGuxqPpR5jI6llRx24ah7okpzqlQ4m7mUsQrEJf2+HX0QET+phw3konsKlpYs6jQ325daCu0q
6Z16Pgqq/WbSlrEJbNEEgyuoyV2WDQ2vFPhyLVdBpA0wf1Y0ujoSHVHzIR0/Q1+CsKqZj4wiRnYE
IMK/JDvhbJB7eDvsPNlmaGoEY2RrFv6VKeUMJkngZxwNVgYQ0K9kOMJQQ4W21T3YiZPqUWy107Np
N4hTjLQmCDlTSA62w9LNycXSJlrKTJBSmpJl6U2c2XWAtrbQ7pPKByFQnE2jsuFgu+2zAceBs/gA
D9BNLtl0BChXNBR4zs2k0Ud49FegplohG+XN9qv/juO0DfB2toI7C3jcReP4Hf32QD9qBYGc2b+O
Z8SNVp48oJK4yFbAaAE5qlcIySuL7FzLg/4gLVIaY13VOW4qYKcYCCUsVyhKrqDUOFhEcMLY3swr
ZIXJwtw6K4xlr4DWUuvThvDX9FyscFe+Al/+CoGJFQzjRIkibAmqh3aFyqjke9IgrzamNeeHvAbI
KFZoDZHOC+3peK9W2C1fAbjFAPdrV1COXBZMEekK1U2ADyxW+6YapjPK4rzzcQX2NCH6KF/BvrRy
bQS1RF9VlnFJeqm11cz+ajb6k7GChQWoYZIW0zHVlbFdRLccFsO/I6UHHRF2m3DQUA6VuXalVxYz
upGI7dR2BnXUXnHsKr++oCO73FkQZgQGAWiaLhVdZWNem0CdKWEFR0My/zsrDqrpRg1TCTY6pdlL
s6Klemktb9OKoBbsm5/ViqqSNV5EQ1feEJjromku2MmLFYc1VkS25ZpE9YrSWkXqknPQU3j+DuLK
Fc+l7HZBRD+rOqrfAd+xyJ9sR0dSAhhsrqhwW1cAxM5vYDGDx06tCLICSh6lBFSGAQruwW7sqARy
LjMDFb3zjkMz9FyiNRS3GYVXHmC1nZk2R6OqPHedDChbTxfnqUFaeRlTjnYuV8ybzIHmbBBdH1WS
0UkbK+9ozeOpHpNpV1a5vCwLeTNK/JWh+w6r1yvCThH1eDmsqLvQfEorO9lChow0iL2D8+84vblC
9m5tYJlM8mOxwvkMrN4uqdvv0C7exjdVc2VQdVUydenaHh1Z/9YhVQ/C/J0nWGaVH7yRY0VYoxjf
wDhMpUi2uj8tJ3tyg5uyCOYzw+0akort9MxLPetRsFns6ZwhHBwA5mR0EwATTEa2UhrjSm5gHVrQ
ii23AYm5B19DzNZXLoOiNUEJLSs90qxESeJBmRRLPX/Ora48y1dCxVXd9DXP/WUbkJ9dhFKrrFPX
lbAwQvJc8et83tekm183FafCdCVvyKtadsZK6Ph53m0az0q3A9rgbbKSP4iGoC1NnfAscyWHEqzM
u25qq62RLlYYW+IL4CuFoG2/oJZcmSUeyQjnZFDRraaak17k7daXJqnXU8zvF2LZy5Wksq3mZSiX
s6FanrMa3hRRdL6p+QjACPFLy/a09YvyNmithSHWurZ6c5MLoZ4L0qv3BKxD3tYVoIRKtsYg1fUi
3CsY17ty5dWa2vyWWL6KBsCErSjXNP84oxDCMDagPqhaB8xmTppnOBSbl3nl79TK5MU6Yici2m0k
7HBX8b7Mehg/yXM7d8dyw+X8WsxCwHWW2P7rTns1vfQ2IeY7CRZUt77It7XBs41qOvnqNrVx7Fb8
XwYiuOlVPqEq9SfSybG+oT7sbCsk3k2Fes1Gldtuv0sBBtw4MF4AwPpn8c6Czg7A8LJSo4IuAnSV
prI/c9pwL5dFJx9/MFkyh6lP8wepdQ3OAajXeuVgMZpY90Pu983GD/rruHP7mgpWW0X5SuWqhOQC
4JL8jlrA4WugNIleVGU9OT+VlOdM/WhRZhF8WbLFtaEZ7VwPO83UH1kJ8ohJQqkQbXLzmjk+t1Ag
nO7zMhvixtDGaS/rOPGiqkB7ENZ9ZlBRa9lxuZGDhd3XWLrOj+bJbzhLSIsznax1WeNeRXlELnxA
AoeZJU2xqWdlXjnCqa61ZeqRLxeqeoxdbdKj2pnMBvo8KJtwbqS8r2SKaMBoR0zfbe2mj1ZRUjUj
fNW+tX0/1dTlTZUTWpkvq1A5bX2fr6oGpDQ5lcNlHzlLzi5Ua8YJpsC+lIAf9llmJV4MlZhO7d4t
lHPh+zL9jqwjT7bQlNaxdTvrRO2Df6gTu7sN5oLAMcnz+SllD9i0dlfeTX21tQp7Oq9hb1To6l3J
lqXHX+aMRFJoyvEc7854QP5TX0j8Li9oeTlhhk5bBl/BX/23vGimPXf5cjN6SXwoqYswopqq6D2G
eCNEK1wZO4La54D2ntzrUeAvwMd9viRbf87m69RM3OFWBv4sol7qBY9A14kSr7P4tS0181PvBTVm
hoLyZ0459aY32WSqLs1OGV0tlNjV5fTZGIvgQm96RwRR3HW6FSpAV/KnSNksHsAop28eo9Vr3fvz
nQHsG0RdXityspvAiZwpAdc0la6/SOThKUYNvbprkjIX1wOhAqjYg352NuwbPIXnKuC7jOfqtsm5
IfYzyvRLRDTAkE0x5YiLx3JrGqL9rAkz+Nzyu8UWNVwRuV0+3BjMCGeyEt1tKRdtn895d/JG7LUt
RljJgXppEHXDdzzW80yBiGp6gu6xMk/OpsHrXh1ti2Jhzp2LtWyKeBrcR4STHMQoJrww0YHSlNKl
7nZFvbOQrzbdFXNqxJewjTOCD+Go+pUdXnVLKC2j8PdWjdHuXm9zkT9iXodMHgQngmAKtBxc0uke
s7RIrgt8+Cjv3Sm7bUwF3mnP2IfGhlT+Qq+Iy2oU8XnJMERL2sVZOElT7AdT4xmoaqxHVh4450nZ
8ikZxZu7xRjbL2nXFRPxOdJ7M4NsPGRzf2j0mSlk0tuHiea50AvS5amTtTyYY170Gzfvlr3plyIa
kqA6umOLMGWazIPQFhVyeBAXIPwDzwSg7qRUzS6u4mUTxF7z3YwL1NLxkJQsmV7HHu/1N/8BCP8d
ebOzYh3/3A76m7w5fFad+D//lb8W849i0Pef/V3kDFCImQxVsrlmvuON/m+g0DXRP5NsyugEQmD/
lJTifQLUwE9KnRc3OebQP4BCLKP4PsipBnDjt7ruXxGDWh8zpvz3bJ+1DZs3YVOe+jOC02Kj87Se
NIdZpwB1SOcunDpN8rcHqyHdkUxNbF6vQYr/WRZ5WHQSTkJNZ17fBZvOlPfxyVc+3b5zgPLAZBYP
rGPJEg3Tvnvs9DrZZEV1EeQODHU2sZq1kliTuI/SZaH3Hf3D3iN9NyxxCNJqNdFosWRnuLO+//U7
+ap+Le869fraXTzXH3N6wCD/CAD6n6teJp7h13fuuey69m/P5fe/Xb5S0/Hj3fv+83/cvY5NBBQi
fBLcqK/m9vldos/diy5/TYDG82wYq+H4d5h7lTKjmSdeDgE9CfbAUr/D3N4nnRwpH1QMtz3Zc38p
6Oe9RPNHkI271yWFDfyPXJ217fHnuzet6TIi9UGHzu1SAEg7u7VKS5+jwkvM63TKcqBoZClOJY1k
aznVgNeujUmzGL0ZE9qodYzScMPfqP6RO30yskeCrUqOysgoL83O4Eg4vtNmhVNo5/lUf/WTYXoB
wnXrCA9vtgHnUK/g4330w9dy/dun+DEv6N1f8OHDoQc3iFglS5VesBXc+wFcDQAMg3KclihxXPlM
1pHxNhmudkpNEylloLG1hEFpHDXXtu4Cv0BVExDs85lCrCOPQKfb/GcBrVFbiazKnxfAv+SGrgno
6qq/3cpv1Z9+6vdl4+D4h/Ck7B1B+yr0/2PZsLMjbkcXvYZAr1v7H8vG/8Q/dWyWE5EAsCk8Kv5Y
NsRFoalxSOij8MX1/sqm/6esDmIo1sVnWSTlkVjwsUSnlEMy5GlboJdziY9Z+jECqvAkXWW5pHl6
7QWii/hsNr07DHd30srKLQiiOMvzRQ8zG2suypMmFB1euSHV/JObi5e5Uj3AYhNs2rI5N/psYlQe
gqsEW+RZk6Pp/Ncr5CMX5MNy8VQl6RrtNZYLrtePC2Ss0T7TOFhQDIXDXpv7Nipiee0Uekss7ICS
Kf0lrP+RDfJB0nkxxBEO8K/7bq74YVESpaR15LUksNN6FllB/mZ65VcY+fEXy5+d9Sf+4OMLfeAP
eqrxJPHXyda2868qJQ6KFX7/ry/gP3oNPg1s03p3Ecr48wXsekuWoqPTTKsRYyr4mUjr1C8NBDhX
Pn4UaEgSbvU1AxTS9OeXQXOuV0tdaBHu/VVBnJ9jSn9CebOn2uvzoPoH1RpbL+uMXboYNyRG/YoI
+UdvANuMSz2MZ+EX/fAGqsEI6lRqUZBVJ6TI2QVaGJB3jJr0nI3BbxvlP+Uo/0SL8d1xoGLhBwhs
yXn+8IGls1jtUsZxJPpm3lSNfBFFsir5mYDQmFyVAVk+Ckuz06dvg/ur5HzAwj9/YHKFHSRWFmY5
jos/f2CL8Heb/AS5ZcY8q53mMtcYw203fUv6ernJXAeX2Eht8VAzXHr5i22lb5bEUGOiMhQFyUXZ
DCZX6YvYWWKxr3vbv2ykc4P74+TjKV/S7E1HZ1dKn5iqObdCkgKmsOqZ99DkE0tAeOR1ZhjEHJjG
9yEn30ERW7eZY+tmAbMPmZ3vHKP5msXufesDGSsHdy+vbGOLSK2RtDsnffEQ+oXNopBP8GpjFyNZ
5G1wWmmZhrz7saoskELjxu6Tl9hYH4m9/sWf0yAEZ7EAy0znTo+nDiI0B08Bqzi4AFkbkfJSVKrW
hGSZGe2IFNjbqvIj2fKra1RgyC1uMD+jnF8/mZn+X/bOZDluY1vXr3LjzqFA3wzu4FQDsBEpUi2l
CUKURPR9j6c/X9LWdhVYLgS9Zzc8ObGPbSkrE5krV671N/rN1FfTtV6JmBdJYP6ow1zJWJbfREnz
kOQFs7Licb7J4RgPo/BcLFp1jxzibaWB75sN86tkNTmqI4O/m9rGQSeFlcNtAogM8izMqHE8KoIg
Pavs0UytW7Cbt3j2FRdJU8w3adKB4Tfsj5i90V9N4/nGpr2zxR+w3BpagEoDRsM7bp5bxUAWVAWH
uhklerGzpd2XCUjgSfusRqq6c6zmwc+oqcEO1zYQtadP4rv6Vv42bi0qZmMavuscf5/GFrSiEnKE
UQCqwlJE2uuwlzZUU53tKBb5eRlHwd+O7crehW0wfbICTd3LEABgvhSOmytoXOFu5Wyx/7t1wtSB
cTBNXgUSDD5H9IgCS7zVkhZ+Jeo11PwG2DBSCCqNQuVFURj3RWoa1wW1pt1I+eB6YBnAcM9unTAS
Vfzpxg/8cVNJWrIzEnCoPvWEjZ9zxVVV+kR/4kENLSC9/PY0wMpXzq3LXBgEFOP8fejVJ9OXPlZj
V7ohlqEbeeY/7KvwyZwCIPkBempBM+Fjqlj9ry5CmcOOp+oi6dP7DJydZxejuo80fnfiRPBi/OYB
ToK8M2Iz2UWKA2MiHehCUgnaODhJulqcTxSGOIJWTmnPYANIRvQkoUaDsnD9QBU7wZ0Q0NAgpYgx
ZnzMvEYWrHGikiadcu8opUrFj18mxRV/2s/fikMj9/zFQ8d/5Jf8Y3Hcu5BS6ESniA4KJTs99Pmr
qZRupix5MnoOWTpnjyD6bsNBuVGpW1Oe+Zh1HdoyY5PcVBobHqKc40W+iiPhoN/Pfo+5YjPaO9s2
b/NcGfZ5GgGIzZ1byAn3CKc1ADGDR81hYSZEKjepXz8IUV5dKh8kiZWawMFbDQa88iCAwzPTVB00
wTAknm5CK5w26HREgNnEEbXmHz1I8+0o6jvznOx8mnVQd8eN+CdaUDy1TfqYY5K+gXD8sQkVXFwJ
vm1rJbuqqR/iTL2vo5JDq3I4crHxZT8sNniN7PMWf85WHYwdFTD4TDohY7Z46JZRO14h+GfvMlPS
gC/K+K5benirtd3sbxGro4zU8GmMhh8pS1J8I8/8pgFaGsiN9NGArrs1shC1zmgOXJQHum2Nrxbe
FOFlotvglktOfBPXtJvCx17rHuqsfkgxoCXVKlRYDGhEhBb7xBZav4UdPqVUTt3ncyqV1scslWcP
URdEPafOgQZWQ3hEr4BerMG69WwSu5c+jlPC5pKcKyfBXt2mRfG+1+P0c2/5E4RhP5681PF/yQNL
q45gDyWdP+XL6j2UETTH1Mr/3sQGKhoi7YNySGisEKzTrAKgHvKaiqc1A8ojhjW8UyhJbuegG+9s
jSAYD0qyr0GBXuoQDzZDzdb2qxaSCR9Fugii2t7Ryfo+Aem402zkMGLi90WnEvATo3gwI7TtkHA0
lbe635Qu5BD1vTJHvtjQU33dW3Q9HS2RYFCECNFskhAPXtSDpAvkj8aNYnaTF0DP2VNMI9Jn2n1N
b3tDzbunL16inuBHcfMFo+rwXYIE6N6oje8YQiYormTNbnDgEKmhJj+Mum5cQwDDoL6Sy68KLlie
nfvTjZTC8qSjHD7SWk7eR7IE9SDBFh0vZ75fLKc8NYFT7NVBUff9UOk/yzIpLiKFmmMCQoGAbnHC
6eztRyy6d8h12K6F6g2FlfRxHAXfleBUFuxgjQsb+62Ym6p+eL4WyVvvp0GI3zRxuW3oj4Iy8Ovr
TCQbmW3cIj1LrdLiGJQEDG3umVBm1GjgYGTZNMM7A87TtyIngj/HCKHLJ0Mk/CDl8SPsMv8K5izi
NoUauYR4caekH9O+AAhgWsFOxONxppmUFNFTV6p3pdbdIM/6Qw/Tr7mVXCeTBK1t5i4Fkk9uQSMP
JVyMD2q0MjYqIQ5xnmAi6aDLakQJYlxJNl2PlZy8nUaLh4pP36mQLX/DoUN7rP8Q4zCOHqiMGMRo
jLR4uUOaoRmv8pKwTkb5YOdimqoMxWrkPKawLL8hAYRWXPgYBaxfUkeCJ9MDCxeHViQYz+kCvZqH
yaQrjNoSd5aQwbD7YiVTFC+Uoyc+lFV4zpqATuFtZok87uA1oWU89fJxDvepTawyLenjwEgEzfhp
iGp1O0fgxykQRivjmi9ScvBSFu6FgBBlUvNlgkh5v+kaJYDYYPXvwFjs2hbyjt4Dg8DvuVTylFwk
kjdyne7IR27MVvoM1+kh1kPPSpAJwvDV8YDkk7IliNrW1T7vKjeu5w/BAP4+4OG2DZvm0m/lH8Ae
cET3pS+8dj8YZX1dKXbpoqCAkGPwSWm6n7GaXiiBFQDeICFO/SdMkdttmEWINYOcTdN+vDUkod88
cZZzn8CtWeYleHhnS7Gdg86eQ8TlVsuJOrE2SfuMzpPbtMm7yS4FFS3i3kQ3mqwxhSkSIe6EE/iU
bbKSoqRUzqA8JHXFk/LFA9UE/6aq5CuWboCQ461/+HmLEihQE4EaN1WSkB7fly01g8vZCp7ikujJ
xfp0/kVnvdhRDIlAi8WweABSVD4eUu1gV1Q+XrO5WCk+jn4JtW6+18DB7Ztm/trZ1mUVc6tkqe71
vn0r0kkoEvYGA231mYNC95A7V+RM8kAKJL5yTTIwacnjGHKVZsSQPrcvp6jfNbFVXxZq+lSV9YNW
kul0M++aWLsfbeK80yAaG9F73IlrXw2jdN+3+r2qkzqKdFOayRwykvCGBv8G/aRk36TEgLCXYYCK
3uFzTkfLxREotI92wxGRuJ8SKHkXyBnxJ3Pjtpz5L3lIPYDcaD4WwG8hEA9xvnMC7uQZwearP25G
3lzBwMUwTLK0H8eQnhKCvA4CgyWBNeMuTlVuBceZJJHYoavKpDtzSHYi3dKi6iEx5xYcQONfBbEx
/2Gt9S8ce0V7k/D0972W/6m7x++HpTb+69+FNociNBVqA2wupVIw1/8ptFnyGwDQYKxFnYsXsPhX
v+vT6hsKc+hoIASgUI4QxpW/C23qc+kanSEcldE70F5Xn16+w6lO20CGwWCaIrovLbkkGxI6XQ+a
IoOS3RsyesbcgMHFQNVQsDWHjIZflH3sbCm4Uqaqmz0Dpsa2ZIt/jJqyv5JpuuyCGn6vLlQJkRNT
3tF+LLudQt/pqi6w6TABVL4HiZN/6O3GLlzVBFX6vOKv2pj/v8u+nK36/g9NQ/gAzy0T2n6P3c+j
Lcmf/b0llTfc6OJbC+9qNiYVxN8tE+UNUHnUNLjv2V/P3ZTfW9J6Y6mYttFSee6KCNLA7y1pvgHo
rqlgz2nTPXstvEIIVhW1rqOUw6QdAMZcdGgAKBuLO6lTITWWcT3t0j6zPkRIoF21kz0VW6Go8qiV
DhRJo098d5AV6KmznU2bdpjAkSQ9r2d1dKp7Y6x9ov+sf8GymCrG1I5tvolAUj9iFZ56/gzRFFxq
vuahqHFoj389eQP1XhSZaEvB7uTkHt6okjwDuS2MgcqaMX0fRk39wOt2Qr/dAUgUotvyWelDcA2I
D0LyzNQdSiouLi0qQA+YHJf1mDnRRiImFNuBiGJsOinBPzlU9ohxWreWYk93XasND1qtTAalJ026
g487u4iVzqRoad3xZJHyhzlAiPxdkOZ1uJGB7d+bcRy+9dU8uXQAsUXbATRKtME0ufKaSO7X3D5f
VKJZCorfCqwEnG7oFxwvhYJIWpYif8L7xPC3JZzKTTfKEo9J2VxJF1/kMQxFJ8Mio4AFITuLVY+K
jDdChtCDaU31Ps1L+aqRfImnem/z9vUtL+jy+38jzrLTJBby7+89r/6Vfz8OM+IP/BVnuNbILOl7
Gsiji+TyrzhD91UIl9E1JMcXSeLvOKO+MbgqoQTYMg0mLqW/4gzRCfIJZXLSYB0qivaaHtNyd/Ku
0UzK35iGg2SgHn68OycHEnhpVYjmY5oAQqsy95LSNxfGCCPyYFXu/ohdh43SF6pRYix+LuQjIcHD
jI/HUqAUKmPaxLvKcKSbtAPH7vu6uQMy9A3FxgakW4qY46i60xCUd2mkCfWDqdzZE8qJqGoi8NBW
FMzm8FpNcn1PVbFxp0DqvCEr3Kwv4l2ZCGcCdG93uZ0gxD/rOrjtctjQ3cioxVGczXH5/OMQ/G0n
YZnNMzOEsAzB4RBkfX1Rx7fywHQSysE7GNap26IRtlUESlQ1aL5hIQ7RsnNIKbrMcM8v6rI19MfI
6POJLWaSXB2vqTnOfev4ebxTFJpdRp/lu1nWp835UdRlZGEYKGMGghU004DJsL8P43kxOErUOU5E
9SAGk14bcrlPUO/eyU7OOz+rNYTHY/pgW0UJ/B9QtIOvUzl/qYZ4srZKIpkfLGm+gkurgsDN2npj
YNzxFA52dM+VwK2EPEDd7aKeZjqIlC6+Hm0l/hbXo7XDFa+oNwjvaNdalbSX3WCMX54n+G/e9Cdd
8vLn//u/54UgRbKEk1RzlMCzz/8MY4bzRge9AVYEAS2Riv8VxvhXYkuo1CdAjNAYZ/P8DmPaG/J3
oWnvwDchEyDx/p0uaW8Al9AShvSkPe/e14SxZ8v0w3SJH0WShKg315/MBbg4gdidNDhB6tI2NpS3
QFuCdhfrQbSf6XF1e5CcWPlKvirNG4eEKKKOJqnSFqpg3W4yU62vQvSdn4y5pzBGGBp+IcaE4lxd
6AH0dquinqYpw08hMrSpm9L8VBh5fFOb6ax5/27F5YUqtsjfX6jb71P2Pf8/l00K8OloQ4o/9+eG
tBwyccItulbO84vyrw1pK2KvQr/6KxP/z4bkT1HhQY6Um9exntPq3xvSeUMUJ98Hw4Mwh0qMe03+
vgzMAucECATGpfgV0ESPI2Y+9kOe4xfq9lHSeiCOEWnPQpQmFMtVmhGXA02BByLrP+1BDe4seZy8
eqZ9Winztkx6n5pI4VzI7VRsgnqKqRJHNsWTbPbvGr1HpKaPLzuz/5qiyP3DQcvs0hz1NRtXVQT2
w3MlpgFdWOcBTpUKPNjxNMIqRfxHq2V31gDlBcknq0SIUq2GBNHmMexuJ5qDIb4EHBt4ZTCVyhF9
qQCyBJ2s6F2hzrh7KqP5tpJG7UpGeAWKQD4aGwVRhg81ZkXvx7n8Ak1/JRl+8QYhFjiG0PcEcyIE
icWlfVC0Ve0kqgLc7dwGWipgaL2mLBWMXwsd7sPWqRXYnWOJXdek5+/LavgUVpF8kwdKdxtlCGdC
0cjju17Oys9xNacICjWO325ME/R94GTDr1DtHZSa268AarTLTA7772g70HWjXpnft3ZXICFDBXc3
ytZl7RSqRT8x9NNNgcoiTk956U5h9EU2U6Q6eQgKxDXsTQffizZ+/DeqLKOKgG+diSqL6pT4r3/H
Eh0lWBCS1Ni5x/4Ae/2Zo9v6G3CQZMY8ZdEW5mb5z+Wmam8A+6kY+/C2U4D4Epz+iiU2wYT7Do9j
Cl+vStGXkQQwDg0pDQwnlyjMJYY53MdF1bZJ07a91zT25NaaEuyiUJ13B4txIjtfPgTEKGgQ6Br/
R+YaX2R4JYo/5WCmvSeV9LcRvk+gkIYxSn2as//vhiJyH04ojp2BKzxDPQcJQQMl/Z1v+/o2qJGW
OT+SuPUPoxeTEskF7ROwU6I4czwShLwUQzW1g1YmBfCKDektWh8NkKI2LL3ecUoPrb3GJbVpvg6o
hHw/P/6JT2cAIBSraoHxWX46RUU0CWvjzjOxjd7IkkML2seA/fwoJz4dAZoNTOmS9+Iy92nKsFH8
pOo8pUTSZI6rCE1TVdrULWYU54c6NSFg8OxDg/cpb9bjBaUQakuznMM0BvDiWZqPo1DoaJtXj2JS
DeapQeAG1rzYi7mG5D2ym60HcRixTb21PiD8kL9+LmQCKIA4yD+TDSw2R2fB2kxLvfVKu9Wvp2L0
IeY248ooy6chW5Dvgn768xv/hX4wwCJ7KAa19QI1ry/hz7ebspJtSN+pdRXw0t92FvyhLMKM+PWr
yNUNcUBIn5jP7qsH95+Mm0zW5m3rYZXWbaUCY+UBuMarD7PF4hE6ETFBTsVc7AhrlouoylQsUXAC
BKFTSW+VMTJp0871u/MTernPEfYgTOlCtQWM4mIo36GA2JRj6VVKZl3Namdd8iisbyvLyC9fPxSl
CpQqqP7Csxc/5WDt8IEIdQw6Sra4TFegwTmykNTYBZ4nvfozYeh9MNQiUdTgcOlthpG81TbaBdB4
43oMsrUJvTy4x6MsLhE0A7qyxO3EQwxf36DWr9xERZBc/INlQ1CdNg+VAmtZB4kyzNarIGAuczBd
GKE6gH83IuGPEa0EvZMT+muoZSRCybX1wW8Unj9Z9qUV4CRpRuqv/2o+y0sR7ZqqLGDde2UMYy30
O8T3BgmrnaZvV2Ke+MzHVxUfiNew86xU5CxB0rKs+MhU2IWHInPtBW1mXERym7lYvv0gGqYrX+rk
8jlIUvE8EWVE7XiDh4EEXc620KuwIslFOA4BBNj7r/5IYIl5NuDvDGyZsY5HqXoJdQQaZV4Stp+7
sU/2paOvSYu/CAui7sB9wUOFbctVfTwIrEw1Ar6Qerhl9qD+wvanFrbw78raXHsPvVi257Ecyh/U
dIFmLJaN28ovyBRTr+zN8Ts9737DIwQS7fl9p4jjeLQbGEc8YC0ST+ShxLv3MP4UFFqyEDETT8Y3
6hZzyehtPiHLMyRG9hb+c/dOQc7vRtKG6i1PNPVdQnXkC4ZSc7wF6QSGGTTwjdWB5LH8Mb7mBmg+
5MjyrSgLvdi14ney6LwRNTBdzwDngzjpq11kREjceV3QOd/q1jduFfSFPLCRFhCr/tX5B/B03nJs
JY3qEa+743XRVSRRm8BKPVWRPtMuwh5QtsbX7lqBgeftzkhg7XVR6jpc/ARIuJHIKKhj9V27Vlb1
e9/ou5Wle9HhI2MTV6as20C/KWUsAn9adZos0dXyGj7T9xIi+bQDuYh2a67b5aYEHtZvy6FGX3DO
xgcNaIhX4V/5kUgOyVhtyg+2EqiQ0ysLmjYLAaYW4ydUnJp5T1WicIeyUADIjn15f36DvjwHAi5D
pwlqGKnnsm2gaqj6cIkkXpJOIFI6gM+1NNnu+VFe5E4U1JFFgxCgYojMy+z4Q0iBI3d21SWeX5cQ
xLFc3OI5FbgYm0fXdV/XeAdOvyzkRz6cH/iFMz1dCiqJQrkMgphDyfN4ZBRRcsk229gDsR2DWx1j
7YMxT8b3oqwnWoYdeKwNtYXxfopxa95V6AAl27JJgvltaTscO5RInW8JxP5vQWhO4zYxGjkIV+LE
y+Mn6vGYmFKf5wEqmEiHO7UzgCaMAebZs5lquyGNvxkCeZq32YQnsdatDHfqe1CqBYumybw2ls0G
FMQKp8Z10EtQ5d1muYHpoXh6bM028j0zKfVvnXDDLCcz/3T+i5zacGwEUjFydZMofzzTUK3jqQm7
2BsR6MLjvcWHD29A7/woz0f7OO6y4ei2kclauK48x+WDeJZHiFhHWJJ7VVxDKUxlZdqYfTa+b5pR
v4JLpV1NSDt8mqnjIBIf6JdD1fsQcvN2vBRE4dde0xq/R7zpKJUTwZd3W1TgxVgg7+M1mZyw+SVM
w4Ru8Plpn1hcTSMXwFDZ4Lp+Lq4fzLqeJwChqRF5XShhzq5mJfomoJr/u1EWnxAO2NSVXBfeMFnZ
PuE+39CEl1Zixqmjy8mFaqYA1CCAL1J3n/Ke3U3gHzGGeGfnsvYBDH+N+n5ooFCGaGzXbMtq0vG7
lszoY1rI3Rb0Ns4IdmzKlxF8zpz/6ag/VQ7VUzlakf3qC4bgIniC1I1IvoTG5eGxbYtIoktm49TS
IRGWzfZ8p6cIz5xf75d5EXVshbYgqAPxZF+MAoJWCWJ6HV6EkcCVgZv6RnK6cE/m3q982pfpimgL
2XCYAH0QHBZDhUMKpt5uQ4hKA6pM1rsmAgWettanEg+H2FYfz0/tGT9yfE4B2liKUM3UqI5ZYkcf
7NjQVvq5RnDIQ+sl8bIOnTEk0Gn6VDzh3ykKbopSbbboRQExn40gB42thXd8SuPL+Z/ycpU5ORwc
ashYIv0h7XfwS1DDQjcCs3kywnT+aNpIkYT22FLDNbOVYPAy2h8PtUwKZ63FJI+hVNJq13Ky5MJQ
gMujNhS8NbtK/y/HE9fB4dT0ppexeAk9ith42RSl9jNKQOECPkHzG/DmytF9Ua0jCGEHR8GELiKr
uQgQwN3r1sG1zdNw7LioEhlVdIDV+C36U6/cSHmdbAcLSSrfb+2vaewrT+e/5altxRJDuuY6hbO+
BF2F8BIqDG3QqKrU6r4euuIzlJ9o2/m+dj3wlffYN6TIp+jJlRNU/h7hICfZlP1ryw+sBJhIAN/P
9amlXmc4FhZqnXXojYNCHY9jt+0QSES4OZVXYtGp/Uv9y4CcSKGUgtvxR0bJpVYC/Kq9uka9b56A
YyVIwICvLddQBKf2L25aMC01zgsFxOOh2iIesRe2MDKVQ1Ds4TjsURHykZgU9kNhGq/sp5fXGiVX
0QWk26eAnV+Ml/S1hMOQFmByHRbXuGEoT7KV5ytVqZexj1HIGagyq0xNdNkPT0k1xmXb4OzgyYXf
fylTSd10gaa4qoUE/si7DCOYeK3ke3Jq7FCSA1AnVDGPBw2ozZJq5oGXanL5Ycbv9j5UtGElAJxI
hwTnAawORTey2RcwPjgzIzKg+LylenafzMn0I1D05op2pH+rDpV11UxWuNdpvVMfixEMya3xDuOt
bGMV+bxZOZ4iACyivoYXG7Z71PX/ULk4XGp8dwkgiAJ5FCOLdygxaZ/zcIY5NDfV1okT7b1s5wbY
kkmrfhUxipByNukXCIXHN6UaBJdanoRrd9+pT2EiFs0NC1yUeuvxp8hkBcMNqQoQKne0X7KcI0xk
9hiwrkxePHZeTB6gqoFYtCgOLMaZBm1CXysMvI798FioJQbUdV1eO9lsXJcIa15OTh2i1tnAwMnK
8n4eJ5x1/8mvANcJLBZ2KvWW49myF5zOtyTJxf5nfsiHWt/GBYJhbZg226prbUrAmCG3cxzfwoqB
gIIU3sP5H3FixSk50NSlMGLzHlisRI9zsIJ4lOQCBE3uJZrWyE4l9crmF3/LYr1p4BFagZIy2WcG
x8HtJ44dhvWD5Aa456A/0txEYebmlTESv5wP56d0ajCOF3B3Xp62vjRU1KJSm5O+lVwELjuXJ6m1
J5/A9SrN7WuifvL+/HinlpCoD7jYQsMSZtPxZwyd2DYw7mFymjPv4PwNWymykpt/MAqdUyBBrCFl
guNRunwgcepqybUQxd0gREcu6I9r5ZoTAViHJCAklriyabgej0KTI5zrilH62oixYrWzPZ5qnH05
aLZdUQ3XNYKvK1MTP325Ow4HXZyDIJ3qrp15vcTtrN+05dBeV60QEGsK/dHSBv+iwfzNw5jWcl+9
qECmcFAEG0qVfdntS3KJek4USK4ThLon90T9GfVn7/woJ9ICNiNGjSwtX1AT//5g90eJqQxGPTqu
kpnpdqxnFELh62BurawBNU7sRe4xKrgQr4C8Ll9DvV8rmE/UKDuGvf3JHqr5ui7bYSWlEo365Rcj
rTQEzlY8DZctHaRa5XquU0y7a210R7MIcTr342KD37z8A3BX7s6xHP00Yzudt6PRBz8KvVNuVTSB
PctM8N/jzr1rOk0KYF5ZtbIpCYTbpp/LmzA3INB33bCi2v+sU7LYZzBnUDEBPS5ecurxd5B51PiW
HzkunvflrQ4xHZcnRavhENv4W2UXMSZ204Zq5vQ+Smcdh3E5jH4kUpG8R9DcvwsnC/HRVoElj4Cn
qpUbUy+0fAvEtgvuXr1pROosqlGU++llHP/YKnE6U1I625X6HBO8EgQ/mgzp3qrrZOUiOrE/D4da
th3lwQmE3Kvt2jglvuOagGiqjsNNNc7+yjdYG2px1Kd+8H2raG03TOzmY57U8oVF7+RtFXZrYvQn
h9JopuJsJzpBi7DcFUkQO3SH3U6uQcNqOEV220Srnfe+nZn781/rxLlDXQoFIxqqXKbLqo9Exacf
p9p2W6Odt1IodHOxZ1r5UKdHQbsIABNEEGdxB6QMP8U1e4LKfYcOFm5LZZhn2/NzUU5kR0zmr2EW
Wy+xEbwf08p2NdR7P1djRdvbl/S3Sik/xW2gfNd83FqlGh1QuTMzBGbNJnl9ZIYYJNPtInA6CLsc
b//BShGHlRu2f51JmBdqGJtOg7Ey1ZMLiu20Sf8A+L+xWNB5dhIlSjCgsZVI8fj/cBHLs+Di/IKe
HoV6KwbtNvX3xaZHmGXyAZPbLkXyp3CsAlfJq36lBXJyu/PQFh0QHmr64ubuKOLw3mS7R1Wn34ah
lH7GIdXwGhjku/PzWRtqMZ+iRpE9MDnEAMiza4Us22v1Yd6iiZ39g6HAKYjLk6cTZ+t4G6hYywrQ
j+3iMldcTG3cXMHjjnbO0Fr/4AjTnSAPABkhKBXHQzU03ahtcoQLZCjJ4Arkv9GTWDnCJxIsnCIQ
hEKUSYieLaKSj3hqkvcxn2nojatqiqKrFLTaBbJbGlxgG1WHPCy/nP9gJwclwwfWBDEGoM7x1Hrs
3HBpNC2kB4ZyLzpge8fX8QJp2/kdZeOWVoMWrYR68Zcub1sHWiBz5UH3TMg5zHrK2sEPbGLXl3Fi
3mbDoLmqjV2wkXbWjRVq6esjhiNQtVyVoNMg+y0mmRjI/rec5baoc6SIkZM3iqF6/fejDo5AIehB
bJCWZ1nXFHmSe0ZR5KTfD4FsQ6sxMW4tq3xbQ6n5VDnd2gV9qnZAv4bKs0GdAlD1Ym/GRVbWPSsN
zVVHjL2S1OZeDaK8QPc+t792KTFSL7X8LgBO75aR6KgNmIpd50mgXkrkLSvLcCIEACaTDYrG9OnR
/jpebE3u9GlSNct1IOPusqmrt7LsVy6qmv/kuxqGApoc1B+CnOrxUDogzTrBQsiFjhTd94MRIoXR
2ysp7YkYTd2O3FwQckihxRE6yNGxFhnkhgDkYt9U7jsZc+uoa8LX3zfIGVJmIqGjJLlswgYYo8V+
zCgluHk3trrvc40D+fnTfmoqiGvoPGno6tPxOp5KYvVymWZA46MmnveYWiBzZ8Dm+AejCGYASBTx
hl4smO3MaoS2k+VqTl1vMefFGt0Ou5XPcmqfgUYRPDALn/kl7lxTpLQ2w8ZysWa2LwYpUK58Kczu
YYXVr79qBLUGcJDo3nHEj5dtRixcQ5vecmsrN3dmYEZ75BU7Nw9lfeULnZoVnAlNpj2kK2yE46GS
UOmteQwsF8RCuZvTNrsoFSvbBRKKaec/06kyPG0ksjm6nuBsloViRYnBWQPzcJXauIwSbHtVLMwp
Uj9YEmbdUmB9yh2721a5TMxo1G+Y0jye/w0npwvKhI2CgRkd5+Pp+kPkJwm9QKJXl7sFmjLbLNHz
fV05awqSIjVdXDoiB4LJgo4BNIvFTWeMmP1kGBThg6RK10FhqLsS6/dtgUzejRGp6I8MebVH4rq/
t6tmzTft1NHjfkXhhuc3KfoiTgdOm0gcPdNFx1/fWHrebnti5UrwfflN4SRTrBYXgRC0URcJOo6f
OTokeARjiKRvhjxCwKehG/BTwjL+2pgVfVc2vrmvi7j4hGxZ70Z519zp8YzOx/lv+2LG/BSCJlAZ
0Es078S/P4ibc6WoYzJ2ptvacnaNSGp6Zfbyl/ODCP2A489KdQ1hZeqUPN+5bRafdShHSevBtbu6
WXTTfq46pUJPKwN+Kffd6Nq5Mv30tYRsqpIlZaSaMIS3kzPjy2FpISKIWHEp464dimz0+lZ2eq/H
BOGpGKwEn8/R4lat/bK/lru0SpBKwWLgA9aa8ieroW2375Wh0De5ofQ5VqNyshLmRLA83LYwa2gJ
iCueXhk3xOKEBJMzYLTeowpuV8VNw2sBgX07wqZpmOWLsietkGNV+nV+WZer+jwqRSJUFsC70Ko7
/nYllmWZqkCGMOuq2cdJCnOm7bHDqJtmf34o8VctJkgU4jKiqs8zaNnUhnHhGzZ3HVgQFLB6XcXz
ZNat7Rio0l1Y6jJag7r9vZ3tZIW2sFxaqqLkTJAsQRcTe5boP4T1QkPN5x58gD49UZf9Ocsl5vN1
gIyhaQcX44xj1vnZLhf2eUwqz6SIYmBheXl4KEJ0tmu153Pqaa3u5gBDCjks7C3wumklvi+zbCpw
aNkCaiS4EuDRbjkayrBj/KRys/J8rlEX59oSX2mZ8w/icSOZubOynOLvO/yQYjxK+c+EedqqQnf9
cGpqVExZ33eVN+Za46H+OF/2QVyNmy5Kxr0SDjGuEY55OXJvX9NiD/WVCS8DzvMP4CGoEm0ICcsK
Z+XEqe2baeWhJWoluGEp8SaTxyxaCWwv9w23B40Jm+xDdLAXh8Pu0OQg8paeY0cB6jS52v8YzV5Q
Doo8wnek03YZOFLvtVuHYam7CzYU1/aSZYONI69HWjIeSkzfUtuOt3VZfYTouMZROrGOlIsgXFEi
ozq2/JBaaQ9SpUyFB7nSuMwqs9jA/p8uXj0dpIqAs4puOE+XxYU4B4NsotaHUKgpD18GBNEuyb3z
nZyjELTyxV7OCFoZaorMBxoF6LbjrTljsYUDYpx7oZSh9mk1yoZiTLo7P6OXBw7MHvLGvDjIL17w
aeRikiOKCJlXBV28c5QWTQRT8wZdCbYIhNSv3u4MJ7pZfCr2/HK7jzG29DkvPU8qUB4FNBS4aTKu
QYFPTIqHK0LrjiZU1JYEAJYunjP8kLzOTL6gBKFt40S/aFrcYgZJ7VeW8MSH4iNDNFYFtAxC1/GH
aqPWMsjMCq8eZVTa2mJyB0d+LaxWPLA0gXYVilZU/MWvOMhMdMzueqVSCq8qU/3tAG/2s1bI1cr3
eRnqGYWKgHCDIDmRFzd3OuXo3rQ6VINZ9l0YUJTplV73xgzZvfM779Sy0WQUIkD0/6xlqhXLONom
yHx6fYkejwz+jz59N7uvH4XdDYBFeKgiqne8bBKFbAMdZGgaw6Bs1XJuIRxIa423UxsOJRbAtqTJ
DiCl41GcEQJvXjq5NySV/RBOaKF3Ez6VidNj1mlV/kqCdWrtnnlp3BrU55dY1LRTsqRS5xzFWLpW
tiWF2yyU/sFhZSOA7WBPU0Z8TmMPthxCpYOaDylKxmCL0CRNwe2bhfX6LUdDCMIERAEu46UyES7b
Qa1EWuGFQ59d8MjI9pjMJQBOcac5vxletAI4RDwc8fCh/mhTTVjE1BI71QwL3cKjQttu7NgGpKx9
oVf7WIfpU5b212GXfygm57qM6pW28IlvJq4OELsMLgiZx3tkqP10oLhQoJgfTNtYQUs4tPK1KZ44
wPz1oJNBd0IsNNXjUVTCYuPrBaMUDYDglgAbN+l9ZNdrYe9l6kTxH0kP3kuoVUJAPh7JmStTggxR
eMDQQ4R0O2NjN1rn+cj4IFQbqNsCfMcFsM8AYzK9WbmKTy0nPX26HZA0oWiLf3+wOaH0WmXVodlt
Fc60rSXVcGmG/mmY8rfqPScONh0IrmCwuEhnLe8rEo1MNnpYSmFrNHfxLAHyRjSt4iWTaDiDJnK/
skdfJmo2LUlYREIFlMe/djyvRMlyCYvO3EubqbrmfcjrLyj0mxpbSbR3YQvjKQymYSUanzwaDsGL
sI9MCrjZ43GxnGtyyQ8JYeNMc6qLpE9BnSdXdq1iWokH9abrQu2ujfL6SiVT/NyB8ln5ESfmjgWO
gIOQLNJ/FF/j4JtGejYonexkntI60lU8xumNjqr4pjFa+KOx2t+ACHgtxoCYAEZP3A64oBO+FzEB
wntbDyUZUA1y7GJKEFmwpKB9/XY1yPEFOYmjwn20mBrR2jYyNfPkagru57BsdxKVhf35ACfumePn
DK4VNFLFXhXfcfF8Ci0r7/J0yDx0uRHYmEv1HXzVfDc2bbjzSziXcRVKm6Lqgt35kU/EHWTHeFuw
gXgXL7GibdapsVZXmZeV2HKgoI3YoDYV7qzKw8qb7bnV/WKWPJw4/UL7eDlL/ingoaHMPMk0fyhl
/tbAur6NnF2c1ndq21+YuC+SUdiX1VTtEineV1pwUZfFl/NzPhGCKEuTMwsRt//l7Mx648a5df2H
tnA0D8DGvpCqVLaTOHaSTjq5ETJK1CxKIiX9+vMoODj4qlxIIfsiDXSjHZoUubi41jvYlAHOv6nd
4sg4cWmd5lkSAREGiaeq2m7snCsrCweY1/7+kgL+fBFncQ5te6TS65OhfXmXaSJpq9Unw2jWG9/w
SrBjQXl17DhniuAXu2dasSqtWkDMS2shvhvM4QEUS7yKJcWj9G9b4py7nUjHZiXBII+5WD0nW6x5
6oPqJCTawvXQys+u0tvjn7/RlZCyP6IgrnDpogR1cU1gIqaFY1XVyYuq5Uux2ONx3ZSMu6WMHupB
WQ+lyq1bXNDft8/FFt1z9BDoBEeRhON8a2DHXWLB5JQnIKmdjo0ZG7MGxs5dUPtI/pS5PmbNaj9v
VmOhz7bRcjYkPuCjS68Wr9gkR8765GVDcCMLedF7Y9m5zej57i/vvdVx/putRs2lXZBfdU6n4tLI
AnT22xzoT/Q6dMtH7OhFapv526BoXpetfmyG0I6xDPjx5w9z5fDs4p8wQ6nk7KXC89+jlK2rvAF+
muFP1sM8RkO6rrO6ERCvjgLwltYee4Dr9HwUSo3L7LVGeXIHPYKI9uVDNnnf/zyVKycUQuP+qUFD
72Ix54OMbY2Dy+qXiKaq/rDg45xEIxypOZpvjHTlhNLSYSPTpeTwXIKunQX47Vau5QlxvyrJBSFu
DHK+Hsn/9mnLq1vvwRe1ebYLdCkLCMaOKGSWl3PTVa0ErLdwE/mD5yzoODW5Id7rKfdOfbTUB2MR
8jDWYRQv61q8kmtXJvgUNDd27rVPiWrOzidGLJNi2flvsidLi5U15ckyldx9TIzEAFx5A7J/7VtS
mQ9Bv9J4B6tzPkoYFHlddGYJ87bL07lRA45TGIcgBGXeCE0vJ/S7gEvlIPpdgrwIgOZauDrImuYE
B8u4d7Pl26hd8/7G3twfuOeRiFHQ19svZprblxNqB1xnsYNrTn2Lwkei114MOC2BDDzCM8vGpNVo
Th2rArH3WCu8kmOuVPvtjqgHI5vp7Rvl31olI8hxm5oQDbFD4S7y2RyrcSF4dP03rwvyH1UBpRis
f5NNrzZ/nNdDRLrqJw1w+x/L5IgPupHL/do161GZtnxblVrieGM5o5vS1Gibkw7WLYcfhSXF3S7o
/9GcRt2dRm/FHI5Ydlgzy/kyOABOUCRwmmPvD+ZXken6p7G6mEYGE4LCSSgj81sxGKt1nOo5u3MN
D6dzu++aLVZVAHrTdnEHclsZiBsB50oezXrz9CIU7FDcy0LrauI2MdkODPGy3z4pGfmfh9IzEtwh
5HOPzOkbq3HDFIii/RC0ZnawwupvG7Jksrs0LF98Z0dTrzvfxDxBa3stPa4cH7eaxVZbvPRYiExu
cOu5cm0T7xuLhhYD2peqB7OuZnOMUD2wB4TUujXDPyf8Xzz2Igr19M0RN4AEZl9MKOodrx0iiRVo
lTl3XqPVYw217sbZvzYX8klotbsiE03682Vz84ol3TQkrr77YCr4FBn2RDey15cBBuGY/xjkYiqF
vYqiWhmkEiVtzjKsTr3wi4Te+S2S09WheEjSMaK6+4J/2Obb3AVS1SeVm5hm+EOWZgBW43lZpxuz
enkxMSvQOr9rujQpLsLmBlpnRayODyT79mHsJxs+LV5jST3LvsBlfblFenmZ2DEidzoFnf1JdZk+
lpkUkSwZ0RtG501A1T/xVh1gUIgxxi7OkqrS+ftaFYNSf915T8BdLtO6qiqpZeJ8dvKV0A+qw6Mi
gKDBJbzeathc2YwQTNjwvOfoEF+yacJFq61to+q0ika/qRvb/1oNgfH3VVi60HsTjLYphUvn4hIK
xgZ8oHQYxrP1oz124+epzZsbt9CVj8WJIovgbQF18hKONDYN+T9UklPZ1XlS9IN1j6CitSTQqq03
Wgn/oGQQ3oDsXR3V2yX5gZrZlPvOzzOsyNlfh7U65bDT0sF1hsSalvLRzyozxbK+/OhvkXf684V7
7bsxRxpA2ABQ1rwoOGMnYe+Fqeo09Za6E9GUxUMg/lagjAiPmjTtX/LNnelxEUVYStcau6k66W3I
Xy99hjFV56nuRkTcj+1F8nA2zMUKrlPhuwvieydvCst7nzw3iJep+Y6uTJVG2Cye6jKC6LA2Rfjg
TJn71wWhyOEmRSeHxA/Mz17v+I+CELq9a1YMWXnaWnd6VIh8JYubD8miZvugRlfeG02Tf/zzF7zy
RKKLSO2UitCuRn5pECvGtSn7YUDLwlNiOHLRRI+il0FaZKPzS4eh/K6kGbwirVKxbZbLXWEY9gkP
j/aN2VTZjR11JYzTBAQc44cu2fgl8r8hdtqL0Zf4YFs6gXNZH9vVMg9D4RQ3zumVzYsm4a5ssntY
EBjO17sJs9WuFx5lZBVTXOKNfWzL+VaOdG1CwV6fcklIdwDh+SiuMKWZwbw8ZVUBo3vb+rQ1y/CN
4+lbncCrE9obtrse8F4/OR8q6MzMGjyGwtL4S+6HLW4sxS3C15U4g0g+YJ5diAas1sVhnJcC0kto
lycnxHSpXIbl2Ldr/totVnSkc9+/B/J562V2bWZUicm4KMPTib5IVsqs6eaIZUNcINOxFdr63aK6
4Z8/n4Ur9zrtQC7Z30VSPJrP1w9ps8y1Gx6cgSf02yrP5VNbZuibzG00JVPmeDcizrVp4aaKBAb5
HnXMix2IG2c/KUzdTqXVhScPo8sUX9dbyoTXsnRekoibsXSgcS+rD7VhNsqtVHmKaqUfzEIv97qx
xGunn6unPIeyTSJT34MoF1+x3PLSvGi2W9ZxV84BS4vGGgpZlEEuhdbGcgTtvOXEmXBzP0ZGKeLB
RLhCZuoWneLKsnLYcBjZxRMQPb44crOe9YINjDi1ndl+jYTL7sTw8vDn3XJtFLIxmmecB9SALu6+
EvO+FktKxGIM68vQAMx0BpQK/jzItVUD6rHTkrgYKFVebEnUF/OqLcRpqXIjoaynktby17ixnenG
fK4ORb7n48NEZ+Ty+mk23fqyD4qTVRifh3zJDkLbT9iDZsn/Yk5se4ZAqI5Ky/mcuP16tWJIeuoC
P0+6dTSPziKK2Mr+mhdC5gB153fpjX74Cz0WF8UVhBVsNHDcgfqfBMLqGnl4/POEriQOiE9Rbt3N
Q3b46vmESondhA3k70QfENkI2BOZSAMsOscj33Q56hUfmiQDALPhsgrJg8e44d3gEL0IXrx9dmeB
/R6HE3v5Nt0hpFM+cr4Q0ezeClWOiQK8G5MpBoemabMblfoX238fD7D9XlrdOVgXITmaLInkVVue
VBA0aWTqOQ7dKb+x/6+MQj+AoeiTUUKPLva/66Oqy4NbnKxIfx+MWR1MzG9vJF4vTBN2ASJqfrwL
qDOCPrrIvMxFUkIWgzgZ1BJ6egAjmBADubu6GJ13oYiqR1+X2cF2pXEKSmsWOH3YzZvARmYwH8eq
SSJLzek25ngGD6i+SkcvR8wH17T2DIzkReElBXZpRhI4w/pkrMK/kci9OL77HPBQp0XDe42+1Pkm
bFCWlPbESrnFNI6HYWgRwe9CvxbxQkJ7+POWf+FhQ1WSCvC+6XlP7fna+XCucKsyNzTKLLaNxkO+
DuUxzCiR4lUchtnDGOyg21ouUAuyZfghtzV/jDqNi1WwdkYcZlb4AGm7/VH4joF9tL00GM573RvR
BuqxqPCbmOdMvOk2HYBqxZ9LIR6YtM7m3k9TGZ5aZcq7RrvO/ZAZX0FV3+LTv9x7TBFpB+iUUK+I
8udTFJbZWiAjEHPqau9xrfBNrtxe3DhHV5wFUFoj79j9FljPy3KPXzq5VZdzccpsHOznzU7N3n5X
DBPA9+jjONuv3CB7Qomvjt3GTXkV45BZK4zCZVK069PSqg+ZorOhTW3GUst0qGfs7ZHr6ZzlRunj
5ZrsFamdm0KCCfDw4qTA/o4Ml2Zj6rZqVXHbuc0Qw7Qwbuyvl9GMcfYHAAAS2J2XKUteIZmBgEGY
NtnmvBdB2X7rKPtjSAxf6t1GFffGgNcmttM6aG6CBuPP+ceuxmCRM1dDmkXKuI9K3l3OUtR/m/CB
m9vRDju3bu8eX2wpLxKwEml2QHGQ+t6dJ3HYlfb+N3MBK0KCvlcDLjnhvtNNW98wF9wcize5Oei4
bypx4/n0MuCQZIEn3p+NZNyXxMQitDtVaZgh09APB3/A2DrsfrYAVG5M58pe2LM5AHqInFGuvHhx
TE4+dcUY+ilO0+srPdQ8wR18hkvl6X+G1b917q+Px12z4w9BgF/cbML1pmYgy0ob2D1f9IzQpt8g
AjUhvHnUneXdiNxXtt5OxAOQyr0NB/3iTG1VO1noevlpaE/2q6zwyiM1oyX9c8S++rlIhcCJQl5D
Ovx8g0Pej5Av22flgB4qwKTcjc6KN/rq3yLUX1tA7iIC5450A650PpSzhkgPOhsUF6q/D9s2OG/V
Qr9je+3Jsr+xDV+u3n57IwNEZ50geonMmoTXdU4mnFTaqx8XUu72j4ZzI8V7uXp7G46WKsVQLrvf
1+F/1GY6rHMXhrHTcIi+bX5lJdiERamEcnKjjndtPgAgXLJjHoWg5M8XbxpUTUSw7VRGRg1Q3psP
TV5nfx2ImA/gV3rSfCaut/NRVic3dZ47OMytJS6t1Wz9Y4zW/OFv9xwwINozoNYohsIDPR8lQoKy
6DJtp3jlZClaNCIte898P9pedmOoK8vG3bmTbMEfWNYlt3dzEUPuQizzqEfejwrL+7kJbgkBXh2E
jwPIHzsg+hrn81mGzESimEH8ul2p9gfhg9DGrS7Ty5LcnnWwo0k9dljFZVW1VTUar01jpVvYyg+y
mGqEVkxkJZ8Nl8T+ycr0OMaV2Vfw1DLcLeMebnV+323jhtDUhuzncfM9dSswvpw+WdBveCCAzp1/
cD59M28mLeBWpG7uVz/xEMTRpzCHG53il9Fj95ulkr3TX2n7X2SWUbM2Y+21JotMfy0MV2Tm8/q1
KgbcyJta3jjZV4eDzklnetcyv1TShpoF06XJzZQDs923vWunwkebKVe7S5XZ3NJlfbGIOweHBIDc
hvsTvP75IqpMuNJtXS91lY/DUWC1R3Nzb6kZvpgVowAT5VbmaQbb8CKK9OaGAN0ceum4ih+umoJE
jquLfMD03TC85sbb89qcKFLwFPCdvexyEfAXDJ7HQZpeuvRunaBC3x/zyKlvRPprcwJ3RtIJdJoC
xf5b/EcMHmAqih4PyTQq/Py0RHQBXLXp+7EPgI26xS0Zzhfi87+Jt1hucxZ/i0pc7EQx07aZ0UtN
yyGjk9hjMZnhHzLWMtkGFziA6/Z9QWnaRt993Gob+12Z64+YcXjlAem5rk8cZdtzEhZ6so51ZxkO
F8fQTfGsJ0DZte7XW02uPXSftTFoHfBwAcsOIYTm/MUpnUsyqdIa3FTm9fIJV8rmuLaGf3B6qGzo
JoWvF2ADN57QL2PW71FRGaYCspNJLy6UeQk3M8h5n+RbUT92q4peRYh9vArrEAe0AfuIuPI7ffDy
3mhZAz9MKQR2j25XZt+U4893f756rmxJChvg0SBO72LOF8csR+dBuSVE/agt3McVFaHYrNfxb69R
Zo1gKCIn1FV375LzLUm5bMJeZkIdY3LX167ufapYgf33xwuIBfeBtStxv7DQk44tEP+o3HTFhCPx
FArYs8sO+/OKXds3qCgAUuRpDznqYsXs1qwCR4dOirFDlyVNWC8HK4IoFUt/lXc8idx7Knp/3frd
S98QzCDF7HaElwTzpQpWq3bI3wwaiTFgBAi7UyRvLOGVyYU2PWwiPNGQwHv+oXTrzuYwm3bq7sre
kcU4R8TWrEOmuc9jQVDEV9CfPv55Tfcwe3EWUT9gh4BKIqO+FP7z19pFb3MlYbCWPJ7Xpf5Q6iU4
Wv0aUtLCkbMLM/M5C9dffx54/1gvB96bJbshL6qc5/MdrADdcmIPWfE8HifVzI8V2vT36+xbN07a
7wLF5VhoA+wvGGIO6hXnY1VyFv08r1baChOetSz6OkGBbWTWS29Uh4yS2/fCLb0DiO3wSJMaI9Iy
KN3E3brpiKScfODKCJJyougzlq71SjqDfKjzAu+XYELu16BrFs2deDVwSuJitZtkFlY/3qhMXwka
NF5B6RI46OBf0s4iFLpMvo+VRp7074ylKpOMxsmNg3Z1FGREbEbYySQX6zU2rkkVZbJSw5dvJW7k
T9gEWzd23v6XXHwUrsg9/DMCd8FFAtCNFDQXc7ZSYWxEXaG+RX1jIzmm7teRt/qft9vVKZETBnQF
qQZcgsNb4RRzNvZWOmGEEpuTE9xXGwZVfx7lt03c5aQosXMjEwup519MqsUbSNZLb6Zm67VeAkNa
fsZYjLIg1ZDwm1E1xceusEuRLA5abtQTFz2mtaJQGeflbEKNDK3x1+AsWR9LZD9/OsG4fdWZVFW8
4JPpHqFESJEY0vXqRIKzFifE/Li8anfeegS3I/+r1/RRdHCdFV0z/gH5tnMsJUjCM6eNRem2Xxqd
hT8iOns/Ld7AH5Qb6n+WyRAusB3H/Yx1Q7XEsLy9T24+QiGABjNZsQlrD3SrHQJhq93cXJIGqdt3
YaXMMMHShPYI/M7ufS109TmXw5InjtvYKlFmt8nE6sOl3Ukz9RTzi6/e8b/CLgiKcGxxX83q0o/9
HJBwbHZh++3Gp3mx3cDOEmApOnHZwq4+jwFRWPcb4Ccz5WkWHO2l7uPFED0GUcstFaeXjAhektRK
Qe3vasPYb5yPZXqzrMZt2NKCx9CQ8O7b7nm2t9y9TSPk/SJLZaAWWJTzoZ5z/yPmI/03u9PNq1m0
2ZystaZK6lZt9/2vV2EXeaIBg9QRG/Vify7L0Jcd1CXwmoOdRJAiDzQQrdjuh1sF+JcBnrt6NwIB
Y0OQv1TMIvblkfSKLZWZpY+o5bqpYYYazKC6teAv706G2h/w3GQ7IPkiDZ7NyZjCzluR3sx4d1pD
1j9bm4sfr+vmxpOqPGx48tVBx+rPy/kyqlCZQDkOOji6EwC2zj+0N3l1kbnLmq462h6qLvsVedq8
kRmwa17uXS6tPWfdqRkwjs+H6bd2kosVjWnW6Sq6G6JpNY6Na23V0cnW5YvrDeCHzS53utifIv+j
EmFpsg7aB307jFl2KLqltg7Ka0o7RvjWcGMxOYOILUtbxXGJes8+cvkvLh7ay/ABp/euSHQmlhKM
MroMd1gHUrMammgZ0rwe4aN76BAf2zpbnbtNF32VLCPl1piAjyIKngFlnoiMwtcjNvIYoaxbHZRJ
49n5v8OqQiPpQ1WEh6jtw9fA0HL3zs8H0KSB7KK4r7T9wZznIY+VbgyyEHzq1VH5sqmOWd6IZx8U
cUPHJQ+n5Lew+yGbzXyftNRVssuv7n1OK6sPjrX6GCFndvOvWKfsPVj9+lmFuf9jyGbjPag0s0L0
rLfeB4NlfZqdOTTiRYb1jJ1Txxt7GDvPBxhs6zdubdkghr0letvOssviqApKL1nXLljSEQ9mxIwD
Y+teNygF0VfdOsgsShhzTtct5EE29GEkHnl/NRg1K2t6onY9wvnYCvOfQYW1SKreURWyF1vTxJvw
miwWDlIbp8HviwYWl52VB/qB1jtXS+EcdW2P/V1TyPmj4xXOV5qhEwIdO+pbSF89+oZR1HGYc2r+
yUQ/vhLFZm/HwY10sRPDOuc0dX3bJqFZ+YcyXJowdr3c/RXJzPcQwPFWsGVukTu4hK3WW6UJsXEl
tPkRLxZXpuQgeXRkq8jnujNUh6a+hX2StdkTdRG/iKY4WEvjbhzoQMaIOhoZUX5bP1djNbBoocE5
LWZjxU2rH3mPqajnDAtBOynKnPl7mHnuN2P2J8QxmkA8bPz0N5UPK19GhiRteqvG11RINiftR+V8
UCqqZ3Iws5g49bmOEt9ebB+jrbn41Tqd+9r2tHiid4iSg1GH4qkmHX0X5kNNXhgFrTpMQ0jV3iyt
/rvcND5Gc1BrpmaMWZcQ7DTS4rOjHrqi8r5VwAJoblH8Y2ZNtLnHvMzXX72svPe2Vn6AtLpt0YWa
/FUfdECmn2CaStURC5yCINWF83YHzmZskmzKzSflG/DUfVr23B06F8cOSvt9E4YLyJdS9L/szsu+
oPYzfG5DGIbxyKvoeaTg7SR2xFMSQL8l34z+20DlrwfRZx90Pxi/eDCNVTKoeWwThFeDnxriwOey
nG3rJKPaXVNbOU3zqvZdFluLUn6HneS1GNUVYZHac1GJWIaqfGxB2JZJ4K7h134Y1E9BheWZxcmg
C7CHlsRE+/RnFxVzkEAyN9pY4575Fe35+cO6arM/dQgm81+DSE0Hp7GcLplRcs7ira/KD5QPRZ2Y
9LesuIVY/22MqHUcsdy2vcO8ZmyQqvayf/kxAa5r1n5c5bosEuENwRHgn09K7hnBu8lYUY3zyiqM
HWucnmqnR6ALZ82AXTkWu3i7iPgEYxsUfewAR30VaTsb7jPkyFXKiYre+rkb4hK2rPTGXauTeTz6
Nk1FgfhdEFMa0x9IhTYZ8wV1Sf5kOa/Czl/fOU1pJrp0IOZqc3Ufhi2y2LNWEeqH0dY9zFaeQFOC
sGrexExQYxYX+OMrw/PFc+ZPS3uo2trDUEWZ7vusyJpnvxhGn0/YWXh5+ZN151H0f+oiH+ZPQKOE
9ArpmuE4ungNGNHUAoCbxesNEdQPg2tbW+oHvTc8tNjNDSB1DHghUhNKE6Gq4vVu38LecLW/pB2n
TaXbMnXtSc1l31LMasP2ruqlAjYiGjCfSzf+W1PFH5OCruIpzHKXgNu36Lk3o/Zeh7OEkl3bg/Vo
gnLyE92U8xtrGNH0ajA+PGFlSRRtcdQTD3gi5xNGI4W2Tp6viJkDTJEPsirr74Vt6PzkiXDJ00mV
rTjViFfxDiKvdU7C0xE5al8Qmspc9F8YYKFsWZCeQD+NrPc4YFR0pKVBJiDJxFqQq8ZaJeix25+2
Br/Qk5xVYN5h8GoXscdXrPgwAo7NEjWLFztzFnYx3Mbp3yYUJlIFpQk5pg3c7V8sqnE525rJfg7t
qr53Zhr+sdBDt8SOAwP/WAa5GO8ygrF5sPM5MFBU64L3OQrgfhxxZ72RHLrgIQh6w0Qj3K3r2C7b
+mctZolQFypBn+l4y1cd+q0ZWCtLUsbsA/LwdevXpyzaDIUdTNsQw2XmLXFQllCnS8Nth2REk/q+
XjIv7ngNnOYhMJMtn15DOxqfFF+fu4hcroxtDL/G1Ot7xRKg+IDvV757VNIUnp9cseRlDNor/zx6
RjMnnlQA4GlJlQ/m7PU/OkpsPOC82Svj0jXJsMmDjf5Qly1ZcLaugxXnvd+Jw7oGxuu5Qd6ToopX
fHbcyX+zrYMWJwKlsxx6w+Y+K6zSiIOoxCRxbtyBeDmUy5M3l+PnpsvqLnG6QKzEUq+CLKWtPjts
4DSquNPaUwcOTB0d80ZNXzfaDyckpdfwQReiuhskV8ehDEhSv1Ze5W9HUencui9ao/gSmMrtD71W
1pzQmBJ3nV/Ox2kRXTqKHu6V61SDlbRr37xmLUveYaIbu0RsRt4nNlp1j1sN3fSbuy4UWOdq8j/0
0nN+FpEPw9Ufa20e6ylEE75lsnNcWlzXsRlKwsPU+ePbSsrh5zRw0Z0QEwSx5YzZyuOOsDv+zPUc
ciuZ1GXbzFw/Wc7S/FSbZZMdDHJ1P1TK0N8n+aOoU6tsth8YMYefl3pryeh6qr9LNoHOsIERhLGh
An848N082p8YQz4Pczh9n+ZaferQtK7jAc7uR7EE6gfvE9K73rd6Ha/2SHrnohJYv9/Tk+diXo3i
pOoCCcgI9ysVg+iHjyG9adYJIhhLkWzLBsfGjIT6IKUdfOpDb/q3CsU4P0Lxb7/D/K38JBytQMZN
ZsjHYBnFL29q7X9tx+1lkrtZ9ovAxtU82i5lF1xUmzzm72nfzW5r/VOZTfBeDasJEKYxUGSn818P
h0WQgh04jXV0TxblL8eqs5Z7f2M7gaLdd08FTQC1kQLGaJhPwTPuWVUdL0VfwJ5EJOvZ7GonP2hj
aj/3WeX9rODjkUSXKvrH8OzCgcXvNT/HLDLetnJt35TaWo5CWdV6bC3Z7OYFYv7aNN3wfR0mKFlN
lvXbBw0jjS0hluJ9pyOS9iCvrADDQoiCscoQFGQO1QohuO2qf1iwSj0olFE+Fp0haggNndE/boO0
jIMyKVAeAuJ9H1O34kIqK+EFp96yqFuiq5B7hzqfbMFDZWzKt6b21+6fURA0klE67naoFhOoI5Fg
ekZIXPZJGwXrFDds1cdWSvMZSrqPs4SpCW9kXu0a91RCm9gq8EiNw7mM1riKEP6LacJ5+Z0dYeuG
3dsiRUxDt5+P1RTmHzGMjX509JhAzQVLscUT2Lf31eDjgjP5pvGlwYFkI5Oui3fa5haNhaAStUg3
22K7ACUTL13edbGR8Tk5jm3ePniTtRT4RCjnsUEg1z6N/ix+LVM787K2q+wQlUsTQPFa9rdH6VhT
gktEPycSTU3jQeM/JRBlCIsPZVArl/i3GstHHHxXdReF27QeG16B2CGa/kBDGo9RrpnINjwqmP7c
p362ifZuAM//2pbTtB4qp6RcvNVRlWbC7kaE5Bzv1+6yTCqq29C77+Zu+QHQMugfGtfJZTwaQUZp
xs6bpIJm8K/jdJykagq4SDo5L+NbG8/e5i6Xcx0lUnuiOljLtnxsnWn+mgFBzJNqVsWY2Hrqv4pI
yDwBoRh8b8sN29O5bTc/Dmu+XyKwsfZi15jkp8mkOQZUqgm/1t2M3B5cUupNTePlr5FdH4yjOflW
eXTGvsDYjZvZiRdg4fmh9kszPxhbrlieTez6fHm1NSdlNzAW7ECVAl8SpDxOflAjR6H9maprXnaO
fkQ3otVPagz8f4wA6ZjE0hNR2zRFcKcmZx5jMwupWqEdi2Ad/JAVvCh1sMTL1WDeDWPt2J9rzELm
R2Mc+zBBpqh9U6z50N1H1Vo8NuQJfjxXrdvGvEOnz8juTE/SwoI8XrbOK5PIIBlNONnQ1TbPnrOk
5ZnRkbDQSI7DYS3J2su6eo/iUu3Es2ojTDHHedSxj9BySw8iGvVp4nOHJxHhdJGEeaGKV3brROsr
MiOcFILeCu/roTdBo7VoqiZ1Gcj3tVXNv9qKiHjQ1Tq803SInpu5Iucvc56Hr8psrIkdsAqw6Oq7
qXht9IZc4nCVvcIfsqlQxRYLJ24pdCdj1Hfcr1DBx+JQ+V7/tCx4jNwZpAGnqqKDeOyUmX1ZK1b6
IEntqiScBvO5nweSRkebXXlUszLkvjTB/Ez9uYsOUzVPYxxu0eDEZeuwcJNj5z35pNnN5DALG4ka
D21wwG+e9aoSBJ6HQsmpIwPJ+0+BYU7ivoK48zk0URk4bFsut0MTtRhy13pF55AMajpNM9VPhIMz
zDWnNVh+NmgVPIzK4/GqNjyzYrhhiO+Y/dBkhKuwUTHU9vzNCGfzKSx6/9k2QkK2NeSNeVzDIbNj
5ZM9U0Ytq4BCiSgixpqrPomKMKIisGnze6gk8mp2v0w/hpK+0x0MsSztli3KDn47tt/n0ZHm4b+c
QnU99mE6rfYHcVfZJI+DsZhe8l+9z5N9aGjEU54PSNkn7XwIeipPuYeoWoKSLPZayClERUwROnf5
bk79nt85uqVf+bLohmAnmFCk/1HVggRzXiny8ZNWoV1TkMpp4hI5uAv8LhwBiXm3tK1eFr/oLcI1
prQHRelF028GaaKtsl9T0Snu5tmN3ha6qH/8bYmNehet9BB0NcXUy76YJdTaOWu7pFK5b9DT9Mkv
RirGf13JCwIAdegd+7DyKZGeL1y5zobqLVOnJpxSEMBQn1pzvSW1/7LngWExxopw6OiXcoTOR+EW
GYscMXgcoebyTVMWzZNsovrByjwnHbrQuSHScKXpvSP+AcTuAgqIrF1URjcxOJvn5TrVLk5/HpGp
kYr72lk+GgigxGE7uMmAkHPsbTxHmvK59HkXyL91QfQgDzk7f8/Zu1dA/M4nLidFjpLbEwJEpb7T
Pb5NLUoHf/0RGQXFHLDKzNi6FFeobIg1uaOnFKImvGoZjCQ8OMj8eUe+OGMoZtK0Aotv7iiGS/Aq
lb5adLlCazzT6k1ZYyNDfdk78UCokz8P9eKI4WwNopTe0C7PSd3+fNmmZerzTdVNOkzBmMiiFU/j
IvSNI7YX/c+bVjBqAEuhhEeNGZGE81H45d1m5LvwcWr6Oork1S+/L5migmh8hnEGvvsWqPzFIqLt
ZYY7Ww7WECXhi/NWz/g9TqbHp2rLKrGa0jgE4OESdPr/mpoH14B9QXLFESBFu1hEexu9LfOmNXVx
q4kFj6/ThkT3jV3x4lP9HgWqBwQNGtqXHk112bR6dgd6EL2xHXkRbPFmdX+t67WPwp/dXJ3Ye4lj
yptAB9bUrrRSFj/2qMulYsLjcRuN/6f9/H/OxPbG//lv/v17168Sd97p4l//5434juNe92v67/3H
/v//dv5D//NW/ZTTLP8ve+ex3Ta2tulb8ao51MhhUBMEkqKoHBwmWLKtQs4b8er7gWyfI9E+Vnv1
qP8+A1eVrCJBAnvvL73h6d35Y9292/Tl10eRVOXxa169BVf6/kn8R/H46ocAn14xX/dP7XzzBCtI
PF8ueqrW//P/9Jfvnp7f5W6un/7+6wv8R7G+W8TH+uv7r06//v3Xyg39Xy/f/vvvLh4LXuZXRVIm
Xx6PX/H02Im//5JM5YTm/IqSgyzImbPCCsanH79CZQrRvFW9a9Xv4rwrK0r1v/9SjBPGwohzgMkB
Aoc25F/vuqr//qsVAAKXnJHhqkvp/PXjs11926/fng+34vvP78q+uKqSUnR///U8a365rSF6oSJN
g4KRGETDY1VSglkai0RpfFWsw4bUhq2d66rkhhKkYq/oNQbQVo08qqujcOi4aO10vqGEpt9khVW7
o5Dtp6xM9/owSw2d8fpKKSd123emiXsd7Wka0RIGBEjyTLVrTBY9FdWhGctOZtBgSnPjxaByDq09
9ofUHub3Nf7tahDrQ/Fg9op6XzZFv8VNbdk7TTKdhVNdNW5bt4y4G5yJYSgtF7Uimn7z/CT/u7pf
rm4O3bdXd/nu5qnuP+fJl1frnNf+WOf2CYB7FiornNMHesi/1rmlnrAB4OsyWV+FkNct8GOdOycr
GxTMGaIZ4EjWxO3HOrdOAL6pK4xFX0GtUFn+YJ2za47iFxoO7CckCchyANofA7RqKVfTWcvHgHms
bZ2l9JznTSUQ5dpkWZ7eqczoxgAZHDrIS9ilw6YDs9O4fdfkZ50iV6qvSVlU7Tsjn/kfHXnY9gp9
by/p4+Rx6VWGX0teaV8Zq2FCloG0KNy61vv7MiUUeNYIPMZVRSSltIGStjxlJlyZfs6GuE9KpWKW
gWoT9avQxOwmpa1nCPqlDUYM1kwPFSKmnZ2XedFFbjuMDluqt8LUA6oxR9uuSi0JpEWmXWSqMB4U
MxW1h3sjsvRKMaE23C6dVQdhZQ1PTm9Y9GClcrprqaSLXWbba0NVN/XhookLpCbDoasbT3JiVJkc
J/y6auP1Lqw8VfcHGge3oJlz87xUutrxMgq989EZnH6Pgao6u3Pd2fSE2qkoCAWLClVo5KRBhgyh
Bk+hwdRuhGInxQWnsRj9DoHd2yKly7xT5LxfOz4DsGLGp1eDgYS7P2JB/KhMaB26lsmrPdDHUxeg
9Yh+lWaGkuqNclKOfjWJPv4Ui1K+pPEj126y2BWDBlLb4YJSUh+3XTK277vCGBi1OrBWhkBKIETs
mrrO7uhGZbo3JE5x0JJ4mFzG28V5aA3y42jZ6SVmHdZn9ND1zg0p8jguceueXCUC8AWFbE4vc90R
D3XjZLan1bacuOUE/9SPQ0n7vFhTNLvdlC73ESiAkdlWODGPNkGfbRpoBowmpEVKvLnqQMS0NerX
mPo2hnWdWrTxXOxJB2O7SFWj7XU9jlUaA2M4eBUsV1y5DKW7QWzCajboKobntTEI1acraj2t0Jb8
gm6teiMGzOoPqT6o5q7uNTXzF32xsdyewqzw7WLKUXgP4cOeVegHjaelRKfZG9RZHenihJ3wOzHV
kZeLCAmdVEG31FOGxtE3CKXGkt8XRp75dabl4VZqbP1cN4tUeJHogPe0OAJq20lhrrrJkhkkaFx1
/U2nxBa9gtAavyjFOA2uKSGt4TL7iIdDKRhignBHGTSmmzB5DsOU2rXU1jY8KRuW017vOiSEzFFG
TcjUBsUXSomwAwOexvHtNqtuUUULGayVUuR4CDwqEGRz0I4fe0MKbca+yPYTnTLpvegQlnY7Y5Ie
2mQYRz8pLOPBHkf5vQPOIHSp60uLJ756v9CUbwMlYbSr2VPzxakalP30VCbglWkyM29qh89WmQ1X
0jRNKLMPs8bcG17EP/R70dOfM4BeCD2t4ydRPM0hGN/tZC7z5C1JFiru4Njo5yUY6nCItoWX55OR
eVkcdV8EiCrhjfliH+oInI5bpQ3bxoqT6S7uM+NCB/lBH750GsUH9VZsLFR96FVHs8X0r6qj0yLn
2/qKEBCGe4QXC7+qM6nxybXryleN1gHSqgj6IQUHNWZNeovfD8xNJpwOXmJzQMPcOmeAp9SeZBnM
HZ2JCYZXDsk0AeMqRu1MjQykTwpZ/lKoYf9YtjqzFGPEVxGyda7r7mwuvbKdIEje62la0pnE5+bW
YBHWUJbjhCldZPTvZZN+uhsJxHVAtc0TUlXIJtR+MrB03VGPwa3Y+kiPNOERKKC0o+hzFMb6uSwy
Y3TlXtUkzs7MKbxoMuXGtSsJyUB9wDxsY/dalr6B9fs56migndHgwOId5atj2RQT0t+yGALl0KVW
glANHZc+/1tGGs9kkpdZHLIvK72U0sUCUmYeS36orRz33dSCoEILSzDBbCXTkwWboe+X9DxO5RZ4
Qxp+GrPYOFMWAAG+DrvyW770qhh4mU0e12sm3xJqDVxNVLfpjxwVUXGnNWNjak1gVoWyp9M/fDTq
tLtvklInsfhXGvKLxHWFpL/+xqjdAriGWgQ1C/T663K0LENH6fKkho3QJ4U36JPRBZky8pQdUdvK
oW1y4I1xoYISpQsl916XVsl38eb/ZogvMsS17P7Xo1nLq1f1z7Z//PrETa6fXmaG62t+ZIYK6R9t
FmSD8ApbWQb/ygwpjniKq8qlTKYHE43t8yMzNE+AYlKQU+MAyeZl/84MjRMb/uzKrKI7oKBI9CeZ
IR/s1UKiZwKOHsYPIq3U/cdgXJOcx5m1ofenQnkfturiVjho+ONEcgCe4I0GwC/qLeCHdGrgVWLP
8BOXkKyFcR0Jmt+GusnY2rBFQBI8fopwsNwvYwfLGVwe/mFGZMVfsRqry13dasqpnC1Cdk0lkWM3
sXr1Y6vmzPbKULpBQ4jhX6rM+rVacsb5pUYE9lK+8hakbrtlmCET0hsbjkADOGpmFJbnqnoXgwKu
vQnXhsQZYPJMhXw6z8vUeaYRit6fDVKJyJzjCELeDBgFG+Hseoxjm3GzM6TXL5bOL3b1s0Xwy229
Pg38slkklBA8FNbKS3KUFKIwTbrI7XHy5lPZFvW9OcLUCkwJ2LPaoKvtmtNg4RRUSp/4Lz3aqHrO
YFwiSSBHTmNwekvKLbAmmVwxM5mdOF0V3ad1wfQHf7bOQ18Cfu1SLopr0nwHpZMOPRA8sHaBUpnK
124Y0nTT947JyC+dGcykRuOK0txNsgBRaOEqfyYnYOrGWZMOFcSEzWItvJM1qjnwmkKJrrUozj4A
z3CXEPUs//d36lmd8ehOrV0eDlkV3g4qxq/v1LK0eQ2PoQPmt9juMOSKazCULrBTxDMYB5i0PiCz
KG0VSm2h9Ia79FEgYvQd1URRz0plmm7FKBtbxlsAKDvQl3ImP4A+j7ZFN+XBGx+YDXu80WAlYPxA
zuhQ7R2RjPLIGutMzYXP2c0EcLHD3TA5H5I2BIeio3SKsx0D4EmO/TJZBLR1dP7yrB3eaHcfh2SW
GPwZ+Peo061d4KMlJnKDvMqIhL8IoQUkfxoIp8566/msb3P0fFbOFo+APUxvdr0dL2h+ado0dp6l
wkeAa80m28m3AWTSa9Y7rxPatENGzwxW0qOL80a4R5hD9YwKLSElD6u37v7Px5wGkxsSBfrmGv4s
Rx8HhGhpqRVUVwB8zUGt8voUILA6evFahYTxWFzLeKqrQVkwE07VZT8T7M/6rC0vLVVstcFeyk3K
u8fuOJTh+di3zVuU4XXNvr5nULZQfoHKTTZqHUtOToLBeBvKnQ+aUvVzJzlflHIvyOr3vX0pFqF+
uy1/FL4v66fyVrRPT4LO5HE78lVD8//dFian6ovd+lMM3z8Wj0ctzOdXfI/glnkCiUhl26Kl+z1M
f+9hWrR94IStnqrw3iB8s6t/RHD7hEe57gHNYsM/x/1/93aexy+c8MbKjrb/qIcJp+lo3cDXkxUU
hukTwaqBufl6r6mCEaZTK+lmUWQEstAdSB6xrqRWGHUdFxTs8up1DzrKTYVpNjiXrmwGHw+hYXZz
GaiNB5kJEeqi6GrGx5Ki4ybIxJpuS2wdGEFoBdPoFW4yaVRcvZlLOyvJUfMZ+2HGvdZZQjeE+ad6
M/j297VA4T3A1Wgfh3FxM+epVnuMZ5A8MyM7By6PwZVOSNUhGuegRktXRXE0ChYLzK+bRIb2UCCI
vUZyXTvkoVp9aHLCL8MJkw+oauGlnVclYIEMkQD0+Hsn3TZGp1x1o1w4u1grpgfTloC/ga1eGiDV
cl94RTPqYA672RoAddgXFWCqiXaOMj1FikN7FgD/dK/QBd5NSpYXnowv2yk/Et9UBCzfo1avfgam
CPUXs4/ksVfNdnQbNYuQkogMNQlEr05poCy9/MC4VH+fdUmR7EBfO5+tpGnOdFB3VoAujlR7mEQ3
OmCBNE/9frGlO8UAbO+hJZN9cCxTp/UAmhy4bx/zcDrNTj/UVicBZ1wxmy74gk4FKhuGs2sJ5ige
VbT0CTjRoNC2ARG+YTBmB63WWo+VpNqoCkiJ+ADsJP4Skn/ZbmXW4aWKGkriIqPZaj4uEOIT6EJN
o3ZVoYnWxLTlAG81/SDBZPE6c7AHP8GurqdzIYyJ6lNKPrW6VGeuVBidDr7Y0Z6Gpqd/DmN/qsD2
t+mm64zkw6CGWh6YEe0qSQdm6U6hOqLmBhEAyKnkjKE3hPHqTNIP+rXZgdrDxige9/qso97PBeCj
eS/2+i+SLuOn3bPKM1BHsVN1RkZHk7206kBTgcvZMI8qg4SH6LKx1Y1wAL/8/lLHVRtzNdSWkIWA
1M25cTxpzvskj1pInRvQxVeStaR0P0d01o1WCgBaz0Dqk+FQ859XSiqP3yL/H532/9OHVai7rMJ9
/7leu2UQxAzusRVPr6Zc31/4o2jTTmQqK6y6GCCqr4s27YRsk7SG0RR2r+qKgvj3kQ+mhIIceAkl
2quizaYKxJR6bfYDA0Ev4g+6+c9G6C8TBUZVzHgxaaF0Q9zo2CJEVFWczqGu+SOiMm6rrJMmo3kw
EmgS9QMt9swNq/KuL6FS1MyWvCxn7F734JElM30vEuCmOKC9JfH0nHQffS6cx0BvMJ9jBHIMEBnz
hqLDGDSan2RVohvKndHKZ30+f46bGoRcHn6SBBzJOF+u6rq9ykq6nnpePcxAdU+tfGshtAfyyr5X
lFZ2R1C0XR6dO3gJHawol1eEueGWhY13cdj5DHrzwIAr57Wtlm78KCOegEOkN5rplddN8VbtiDk2
YEu8GeYAbMtZjbTBt2z3vzvrRRvkWePkP++ru5Yx8NfHr+8ey6/v7qrPj1H1siHy/Oofm0s+0QFe
rZLNlvO8HV52RNaB2HpEAukA9EDe9mNzKSerDCzUdNYVAlFrqvUjn5JPAP6x6xB3WntwqCb+we7i
Eq+zcBW5FcBh7H9qFwAfr7Mpzu9oaiKQYPE49tth6OCPTdNbSnX2UdKGoAsSVGv5ygmDssCxGHI7
JopkThlSJGEa3iUaMT7IwfK1rj228ccs1p99rKTG9OU5nZRgGeDAuIqYpsvZKJN5A2AjoSMCZpJB
0AIkfjMnPUMmzWQg0cWyOh1qTe8vMYSZ82CBGfVZB0O/R1dLQmB+KsTD0umxRWqDrbw/NOpce12u
dB8Xg70JSj6KzjpzQZSQUY92Dc0CknOPPYLwSAXmdsVWFOCi5Sg1TkPA+v1pajXDVap1UDPaoZ4u
BgZLZuA0mSPR1Z+b1mtCvTwUJZkUYMmyz92KuQT8Dp2v58lQRP8ZrbGJPBWE52UmxclDApM89VSg
yg+NmutYROpl0pLAlfMBvdRUgwvf6qdqyoB8HhNrcWGFDUtQLwbdpKLJgemubBTDq3CRmjwMIOd1
xNUDflT08g6ppUXyK0M3L2LOl85tRiO+rnVpzOAc5uFGK7FNg9ykh7ani9xeyBOzAoqDlKkX0pCp
n7PI1jKvMCf764vg9Ivk5GgxmuwFSgTOVFI3lTx7TV5elNHwI4Vqza3kaUvn7LoJ7ogDS3/z+6sc
N9C/XQb7FRroUJCIbK8vM5ehLZy+Q5KvK8dTZBtvukFR/QoM/pmtodCQIJ1zpqRV77Ft08MUgln+
/Wc4qtCfPwLdCAO7FOR0+efrjxCldQiJqEZa1Yi783xqtV3SJaq76HEd9AkF8e+vd5T2PV+PQ4b7
y1bkUDm6ntA1Bp3Ivnh1QUoJYUL4uYD5V5aWsv39pZ7nDy/i4notIKdcR6WpS/Q/6v00dRwmnY0E
8yzKRNo2atJ9kOYBmgDzQliEQKCNxZfQp8voyHVXVSTLTyPIm2yjUTsdYOPGtoeP1XDZDHxuXLsc
4bi6NiSeABAuvFCLmgQ6jrPYHrZedjBBqz2r1S67jiEoAFar2m8KX/8Nei+D3irc95+D3u3jmk0+
JOUXkFTPkU/ET++27VP5+DUpn7pXEXB9qx8RUDlB+YK2PjMcjWponYu9QEURFFQASSZjaFRu/h0B
tZMVWULsdFAdBfX47wConhg2jgHgO1BbfU48/yAAHi9X0lQdVWgAWwBF0YI67q1Cz2ltaemgTQyl
SROhKM3ENZ0B+lbtgAdx0y5T7/VM0x7SGWUmKHGdfTWIvLuXRePK0FEYAldquNGNFk8KNTTSD2lh
yUABpupQwzCPocuq0Z1twsVjRNrfzmL12OqZSO/STn1DjfFZ3ODFBly/EXuP9JseB9Cx45ieOBIb
NC0zf0xQVY7QpL3Sa6C1aarFkFE7wAxdZ911DrRwea7yc63t9OverrPtktdwTjQxwKBXrlLizz5P
V7+eGCqVGRmMNrt5J8r2Lbfgn7qBKs0ZekoUNMjMkCG8PhAhuskG7MvMR5Oh2IhxmYJoLB7GpRy8
pAC4LkLskl8s31+Em+NAsN4oxChWu/tVXumnDJ6H5GigHlKf4YZ6n6XzQ81Y3lV6Rs6VpUOtac1N
ShpG/WAlmxpPhTeUHJ6Fc46eFVpSuFKsi9BBeOn197aaGoLlwEeo8ToLTC0GNaAr5YdJ0XovN2Lr
XO7s1o8BCWwVKZWCDNVpZDqEFJhMas7iRNFcrc6+1HjUuakmyW/cpJ9Us7lJDGk4yImYhI5joPZC
86boS4ubpD0kw3k/VMA6JnegsBngsjQt5Jj00uwSb5EnnIfNQ659pR8AtgXOUmj4s7qVomKb8+OC
Y6lmlb7mfJztFHzB+3qyUFOQNomD7MJb7jRHUXZ9vmh/OM8YMAu35qNA38TkXPgypX4ngbVZphbA
A7RuBkPL6A4INJ2+saDWp/X6aZrY4eg20Hp1BQEchT7bGHSnd5TUB1Q5b0Y7P5MR4N1WIEmCHOOZ
c7XXPvcihSSeV+DKsrV4G8GIdUoPfw4U5VaEw5+KEIL2B+nM3Jw8A1nTY2Hq3rHbXO75VE47DR4p
Bs7ftWh3nLGVP0t95z/fhj+Klf8/NNpBFr5YHz812t2qfEzap1dhcX3Fj7Bon6zGYYDDmQx/b5n/
CIv2CfqNzM2YiQNefNVoV09orkPnoemygnhXZbMfhSHQS5XcCxwx/VIAln9UGP40vCYi02/BMlAH
xcnFjvrssKZTmdChoBwilPexSXd5EvrUMXBtsRDIUCgKHAMn1TZvHjAelG9bXQ9Pu8S0zwyngXEq
Lx9wQ4ZO2WR278lKF35B4wtGM912NsSYo4QyGlq86aAnU6IsfbCUsviiq5l53/cRbfyxnZyPWV7a
5+g0mk9SEqW5y2i7OZ0mFY7KlNnm+YjKwWYGSwwkr4g363ijccdqDD9anbLcvniGvwgaa6b8couv
t4XDEFNrOlEI3R5t8TaPFhrXKkImQxPS2tYqPy+HOjDAw/hTVFan3QJKrEBA4Vti/Ufb6n96RxM9
5BeP46ctdX9L/tlGSfnutMvpvXSvNtf62h+bSz9hrEgyB6TkubPCSf1jcxknRDPA+DDHtFXZnnT0
R9eFfcesmmyAI5xKdB1b/9hc1gkQ/GfUCEhlwPPq/03XZW2/y9R9VNn2mvceBSYJQNUYlSoM5GzY
qMm8ne0weHFjfrFO+Rav1unxJY4qPpqyiqMhXILcMSy5etqiQxuYg/PGdjgOsd8uQy6OGpXpqMca
1oKGQCRkXFLDfNzgrHCoKnjOhvMgVf1b0fVX16IltirpyZDGjreeY1RtIy9z6NvYL8WKALFautlq
tBbO26ZEnUMbzirg0ToS7kkxX4hZ382RtlvvrjPOW1ky3/j6x6fB+vVXWW14dERXSpXX6ZsCDhgp
N3yHILve1Fq+i8cIZFp/Fq0PFqw3erZvaE2/dcmjjFFHmxMFsjH0Czl6X85clgbYVCJN1aeelEbg
Wp03KorjtOb4W65r7UVfRtjQh5HuC/2aaWYqx/tYz3a/X67PY9uX5+p6DcLNCiSkpQ5Z7/U1Umse
KiAtPNywulrk8hOQ+J3EtQiB52ahnw9mf9YJGNqiupL1t2TSf+JFrte3kBlATRb3CfKl19dvdaNX
s6yF4zt8qvX2chGFP3f5LiuxXQ+T/Rwl+9RwbkYn3zWFfR934g1h3jV0/7RlGbkDc0TVjc4rx9nL
2+yEsx1pQxH6c4F9w5J+VNviUFvPQur3Zb34VRIBax0DLQIPrqjQsJFusGnw90oYlE3vRQzxaFud
shQOudOfZQ4WNHK2GxgtGH119ftntoa640fGPrThIVK6P/OWXn5e5CBKE7UqHtlsnosuxfowCnSk
o7XRuYWAf8bc9ryUu8+/v+yvTjYgACv0lA7ATxTIIrTYcGPJaizHz2hNXNXVELRmfPP7y6wdhp++
HoUPSAMQvYSFoxWhRTbSnQILpUy+q7L6qtThGBeLFtSighRs7NMBBaco2siZdFiPmLSKA2eWDurs
HMYyv67LZQsg2JWSxZ+s6NrMxqAQEOYl4FfazHk0T1s7jTZSle+curmE2ukDBof/UID00vYybAUu
jsjVt1TiP2J3vxmQHD87lOpBXZKA4odytN2W2LYzSViOXyrOXWwVV+o0nDEHODe70M8hfDEzyFxV
Q+4pEaeTWUeuyB77LgqcIt2nmu5KVfJxmkZUP8Ogpik3TpcNy2+SdK+eh40eGt6A1pYbwrSxWoRt
kI7K6XPGo7lblvRmblmXLSz+TAqsDMSuMm9VK9/hhg3wYvExBtuWhQHQbcCtcdnKyIuFKicrjBil
Gz9bHQjoxti13NGIv4+d8cJomsuw+NRYE83t7hR5j8OsShsMIG/mERKH4Sw+kMzexVnQy6Li4FhD
EHaG5zTpR/zVAUQhgFFUV+zyAyYqntXpFxFCWsLMPzazOCss++uoScz3kXvDM2uO0/0yqXsJ5bJw
WXyaorty7jeG3D6qerLHQvpqSBDvkOL20kAp0I7m7WDGWwNlT1TZAWuGt2gpPEq1pnl1O12oI9tW
tx8wO7yxMnGZNLnh10t2N6Ck7bZlfpU6+s5BdViK4qCPxKVtS6d9lny1QR8SjLYV8nB5PZCbqu+T
lCdq2g/pGhdgMMAbCBDWN/s0MLaGdp61wAk5PNaDpDL/ibm367m73mv8L5gFBHrziYO79pKSv9KM
r1Oko1EU4tO1TDvLrG8QFDq0iCoW0MWlcTzLE2nTltJhfa9qWPD27S6dLN5bcRh0Ij8gE7IvxlUN
wpi3gEbuoKEGQxTvVzRsBo2jkJZ7fCvPTYOFJy2nGl0HETHM1fMDZl3bEj0VZDx2jeRcr6eOlMjb
SNHO7ZwBqBkFwDd3SFK5eo9WTIn8oFY7JdIo0+cZQQY4h+sfF0l3wmbHECd3bjHiu+9yVC9R1eTA
ZIGMSnFIG3lbg6WEYhsUSnfaNeDsQ512R7yXxLgps3RvGlEwWsOZVg2e0s1+HYrTfEBiYlwgznBj
LfM0ifqbkKGO3bSX0CqCSp99lOL8qCn8cuQ16FjChRFQnZUvXVmgViUDDFbb077T9+ujjnN+Nkms
bOkBTd3TUR8Dpcl2coSUWrPywVCaiKbNEFu22zms46E/FWN0Q3K8z+bFB7L0vAaESSTTo3/mbKEx
H2IWt/iWGt2acRzoWHasgdVU72x0rhCF3RvotEbc1nZ9NBGs7Db52KFcoReMmlgnA4JV0EPvC3V6
44T61SGPgCqVFiADehdHh+/SoiNlC9WBB9NeWsCwonLa9ob6RtrxU690Dftrd5kam/Y0XeDXMTcN
9bxuoBL6o5P9E7OLWzNyo7y6yo3Z7xR9n8zFrl9bwnPVB41UMsWPPqwxVTbC9zHwIAhexY1pi/eo
ABxC1D/S6S2owU/ywd8+JXx8WoWr7OtRmgloKi6L0HZ8SZkRfYc1587O8mU09F2qavuJf0uOskfO
8vOiqee6MWH5V2ZuVL0F6vllngS4n/YWiZKCZvDrG6Ya+Zhruen48xjfJMK+08vlc5/NW1EUvmkB
cNfEWTk2j4klvMbisNCl4PeR+Zdr48VHOLob01BIBRpBjm9o04XVIEEXV8BYaWn//jq/WhwW41a4
9QwIWCNHi3DAFlFSheYAUc0/1rJ+blpSQFm3E4vzvEfKIQwsa/Z7jqFGiz/M7SXSlhuNU8gJ8b6W
h03rOIeqTfZFz7aN+7f6x2ucPorjxG/s2QBk0qY51g8xo7mFU6o4fl8BGJuHIEZLp5OkIEWZzcyH
DdaTQS8hSRZBRUO/yf39PfpFTbbyNWAjGToT22NKuZRaWgwOxvEL5dPUxfgpql8S8qC8fKv8+0Xd
Y8lrrx4eBWnZ8ZxGqnWrynIIfmp6ClMdOX7VT0Pbr9V5q9U6J/Kn3381BC9/dXPZ/CRKnECGdbTQ
chNKq0i4ZK2TiBE4esPw7BbCJIluq6AKaaGEtf5yrTqTJdr0ml274Zjt1hUxU5TpjbGftTGY9QGQ
u7oz5nxnmvkBvPsehuRpJ6IPSzJt6kre9sUQNOMQpGbhT7ymmIbAIgtqo+ic2dGhSKSHupBupywO
0qa7VObUG2znkGQEv9jYi5ZZSWQALk/2XSEFepteQ7N1rcHYNWb6aaaqmifrQc6bQ8uHXl8vpmEz
p3Egam0niDaIZkNu7AP4dXtpij+s2VjP9cquP0NTOqhzcTqU0fmUpvCNxaU+h8FAFjgv+l6Rl61N
mb3uEiCqxMP2UubEdHJ9tyZL49gjfRh9iHSJ8S8Vi0j30Cb+Gexsp1Er6/100zjLVV/Cks0gZZs1
KWLSnSrkwWumZRFsxTAQ3fJdGEtBLEsozSMCqkRboh24yYnmoThbouliPb/nVt+H6qekCW+WOqfd
Lp11DmTVENzvmoqEg31AlBohzHMzLj8pfbQNoeM2Vfggd6Tgpn2gDeHNg4FjKr9bhNfVrAInuY7I
PhuyXqvC/kE4h9lanUPj/Yh663oPB9FcykV040DthKOwXV9HgxPHpjGQJwM2hHYuOfwZJZRIUaXj
/lVpf1bYd+0wU+kZHqOEjZATZFjFqZrNPppa11mV+0xMbxbLCVpB/pTnPkqy2zWR0VPnwUZb3zVD
7byTJt+JrPuQeiR0xCXWlBdDMpzpGQE/5Zmy1iIkT+SsOKCeeGEUl4uV3qQtSXf3CbiQ14zF1doz
skPSKmPcKrW2H4vhtJ7jvUYUEsgDIkR5vcyJF1XjWUlxWhnZdUnBmjroPkgtt40Xx9Br9ksd3669
kHWNmNO8XSW/hpHjiTW4htjC6U5nKzvM3bLV5YL1OgboVp/iQuyLkPUJP1htEb+MDW99Ni0K4IxT
PSuWbq2KGyRRdiJ/CKl3p7RkcuMdW/r+9yfCz8EPky/6v8yw6YszCzuaUjJrTXu+u8OtlW7XekDV
+7OFrHJdBmWq75IsurWsZZvo87YLSQM1542y9KcDd/UZ47ynawh/Ak2Q1/G3khu5lbXJ8YEKBkMp
UKbTQSzlu7kQ3u+/LpXu8QG4NmOQeEABiGkDx+DriyklOs1wqG0f6569tKAsF88Cwm0X31jy4msL
aXynZ9eSEQcAqrZpozw08fQJcvtNPSMASQd2H9YSTmgjFq+UwtP42dQTD9FehqoVJSdng8JcGq40
mbpkSgckKvfDgvyAsNc0Z725FGl1HW37BMGAmaIgqeh8jKt0oLc2uxaTLAzNw61Zz9tx1CFtF9ku
DPszgMn7ytLOq0zbGxr9Iyu5of646dg6RTteOExV23kM3RhxP1jxJP+zfo72fOknwLS6wloYfUfv
U3uJXdNcLkplvhjFWoHmnFGaKiZ3KjkFl+Kgt0wiRPyh1NC9zqor0Rala09h0EIHcmvOSzRQOGNZ
qyWFoxreoEV/i8S6W44SWrIo+PHtBRTuvJRuJYKtpxbxDVITAGfkfKfr4rPUxk/zZGpuZms7s6yv
bLM/Hdi+Eq2ILpJushTJdmkIb7Hz8hSNJxA10qHIovdCoyKkciyHEl0IfKI5CfZRggBjku5Du7wS
BkWdQbiKKdbUkhq4GjZRA4Ssi6KbRsgbTmQtI9YJ+yCpzi1khD0ts2s80DcykNVG1vYYoZzb1NO5
5ATrvug0LOZLHYLB7LPM9jPFPoJtO7S0dr0xbEQd72t0prI2ulmPWau27lHCBOHfe0PbgnurJf/5
zZ10l0x55gIr93AN55PmO6ESFJd2h35uhnYH8nu2uFVrYw3ByG5rzlfLFJGPp9ypEneSK+JG260W
fihbZl5k/wOgroZmwcPVw3ifS9ku66YLzZ59hEOA+pWPWWbfJm1/oeX5NQDGnSWqw1p4pxzKGDj+
U8vic9zmyOYWCCVm0jLv6zm/FsJ6AGF/06n2TcPhHDjAkQMTJEbUhfdriR0jIulNWMJKbb9BIsBX
sUaRzCyowygwcRroK8PrR4bENbV1JQVlbZ3K1Mkw8T+ZCWU8+XauOGBVODMRHQ/PKkXb0/Lf55Z5
h0IC+gfLdJFZSFVjqYKIZKPlxPb0o1MO8UZLC79nRHK2Rvq2jN7InX9xcqxKR4xZyAnh+q6p1cuW
Me0tjGDgpNvOSHbEzSTwmusWBBCZ0Z34/VH18+UY9dOIZ0PT+KSk+9/sXc1yIkmSfhVuM2O26gEk
BLqMmUiQVKWfVguVersvsgCyICDJRPkDgrE128s+xJ731Ie97XFv9SbzJPN5JiFlBFmACJ9SWc+U
dZsVEuUZ6eHh4b+f648ry2M0jcQ+HCQvuST7ZAivueH7giR9+jzf8riCi4CmxgF+EFjWiICaydEF
OiwAgjivtwIofQ8OdijRZTNels8RswGQ6vjX8mLYmTfGV3I4QWlfAszwVf/sPyAfeB9M8N/Gdrev
JhZpOS8wX98HRlcazfx6nZqThKIn9IJsMt1VarABuC10qqGFDbFjak94TQ2e/IDOMvyYLjwMjyFc
I5UaRN6dktjIGqKuCsUwuHdVarDyA8ihZAlijuJHAEC8KTVITkXeoztG7gMAYvDlqIFirW1mgYFk
B0O0I7Uq1epBf/k0G96MQ2D3Xs6mYfliDByXFvBf/LMpmtkxjqT8yxIVTJeAt6mfoG72CXjIA+B3
LxpB5aQtMfziJ4nKa2dZmaJ362geAfL7aBqFnUFlhnlCQFYYNmejoH5RGZ4g2+EDX+fzbFaWH1B4
9VjDqLcAJtZEtmejygmC/EN5OQ7rNBxFLn9pHD0BM6l2Mo/q7XIEu7IxhHrFfBPo/6M5lM18hsnn
LUy+CIcwouE3PcePyZbp7qY9RPl4GGRgBlpDkNM04hHJcjh6LAMQvHWQeB+REJw789nxQ1lOn2E4
z6f/6ipag8ADbldO+a7l4NOeonYSxYD0SyItAU//UJ2y6g/I7iBghSIsoBOitvL1lKHdCD0AFaTT
AXkK0Ecoa3XK6mgjrZFmPQbECbo7QVCdMkCEAVQP6BL4BnWRvg0izBQbUs/I8SPghx51YIPSKczd
T3ClF+ORX0F1y9Nj3VnUH52jZzF4HsQX/kkycyKMqkSk9DCUP3tzkmdkjqu1Qat6NCm3RsgrwD06
+vfKvDE6e1zWuwOAip6HXnRbmZebcRIctBr1oIP2v/L54Wj+UzBfOvFotA8e4z9DnRVZENi/r2v8
rDL5Gm1uqAz541koUKL8p7xkrijkZLOeunAVVKinovRSHIJ+N4RXoVCQ0USLJFVDKtlEvRa1OKdN
xym846tsot8NwkkYjsimoRe28ZYbADKuXQDU74aKUABdILFaw12jiybGDETxM05Qa4EJDhcAdz9y
hofLMuxo+bwlerce4aTeOjwJNRWA4ABYif6swxoG0DyPTg5bmKgxv6hHmLWCSugq+nEwSePZGczr
i6Y/G4yc8PjEb01j+H/P3lkjxEoQFjw6jz9LgDVdxOMlgLeOUDtblsPWUehf1ccYrZzb09vsCswD
Dh2Ra5u/GcEY8nzhAGNqM5D9iHG5M1ttxHXcZ4eHrSioPwBUHvMPMR/rqtEYXgcn8+bzdFamaVqf
jqmtrv50UQbE3vnoGUBgk6hRbtYODmdoCxxXmk+Hje5YPt3XYbU50xhIevWncvO5BujxamP01Bqh
Q2YMn/EMYyLi88Gw/hHWJ0YnHyCIVANOf2t0U40xMckfYGh0A3Bp8yUI1SYBoO2ro4+ANb8MUXV6
KGV/2Hi8O3xC1uqxdnAPCPKPtceg1k4Z8yZD8HvSA6uF082BGJ6O3PqCV0q/TYFK74P9vqRq/osJ
rdoatqC9piXfml5Jl5QizW6i4OHui5M+EGGrhwC1VF0NaMIfrH5+AAMOoEZAQcItmN/O4uWuw9p+
jTccr02Bbqu3Psa7EUozjiJuZPyB1ZV/+ZPjHxCgAmBTDbPPV7/HA3OCsd/r7cKmTfuGxhWII+H8
ovLfkgeHJ9hf1AkBwDx7R5gQGg9O0FWNSiZAj6N7GX+yB+7Egx2+9HKQnKH0+ukRkm6Uw0je+gUl
SesEVixM8ZBRRVlD5xj+PwayDW63+svdlv5DOmHZozLm0ue/9PLwyum2536pxCD/z1cvvL6UF6FZ
/5UuDG//fe4tkUB7RSXJrwvOb27lm19rw3cjSx5khT3aK6rdu5BuKMIepnmmsr16qQyu+vTzYCh8
CVNd7/5XplGhdnxRDBspL92wK+RIJ4wL+ZVbayDbuxEOJ64vhSJEIohYjy3VpvAHHqDroqGileoA
nFhbytcL4U9EqAilZDkWPEzMTYP6sF1sM0x8Vyo6tFaK+NtSdcSkG/T1PSOsN1u6nVCWroQ/1oSB
6g1sCeMc+TpRBsG9wN1fwrC9QalzeqfWSCxO++9sl/zB7wdosdSZnOKMMVA2qTIci49iqqsGxGcU
U/bXOpeLcLBYmuoMOAj2pG8Iix/7F7qaZABq1Z52h8D8i2gzHOlLsRRj1Bob3OY411ciiNTLp4JM
MRxbcbum0OzaESG/05oyzl7gGbJcY2DxtfD6cubqvKBCMesVC08szDNNgD62hG/cqfAUmXTrEJGw
pnorEFd3vaLWm0qDhf54zVRBTRPDwmEhy+l0rUedcBFtWY1o6EBMoTYUKWI3iuPUx/2V3f1QSOpx
UpRSwoRVYbvkezHCmFpTZQDCmYO0nOuaKK0psF4xpsKSWbi2Zg6N9GnZdQvYQQNabNf9IN3YFxNF
KN1BDlX3YxSHwaz0ASN2kmnpz6V2HIRBnKxOZv5xCJaXGV5k9cDLxBfRUIZ4pPqrLHooNbGoVex/
ADrTUMTeokjfHALblOHwXst+33NLbUzvUculPcIssI3UcRPs5MusuNZBFVSACxpce/lr1r6Yfyha
6GiKk/rR/mzDdSUWAhsUSu9v//nf0Zg+oYpF9AVWcCG6AfA/i5iK6kpgAiLabCv293IShAdXbhRr
WhFzTgF3xSEYLpyCsRL36M8tKYIF/CVZ+okmTWmZX8BuA1qW4aGtYNwPwMB7MYYbKSdC8YkkhvAp
Ad6rfrT/5l2KRIZyrAgRbWCGYcoORY9s9+VWHKD5oocBNWi+ShS93DMY9r4DT7uAMoMOuhLTeGiY
NRlrtl5cRdGlbxRYOkTKwjpg9v1FlhwB0B/tCHCoLmAJub5p81BPra3kX7vPsqfphTTyb0s2yzve
IgKHUXcEBXgtnxLMR9CibVXKXdo+6ZMvY7df6sQi1h2RNI5tS90BgVB4pdOJGxrQ0Ch5aWzy3He9
Cx0Rym7X1Y3DCrKYKKLaZOJn9N/vAGe2gAq2OhRrJ+3+D4147xntbYphCIguJWypXmfQu85iGibY
hkzIiCrHRXeOuAXEOZTTPGUkzdTH/e/QD8j/KyopEwh0yfaIfIhC4eo+NfW6WJMNxZOikq6VGnFt
iX4Mwr7BgioDCy6TuZCaoYwebPvVXrld4esqE83W9nR/nBg8oJI9W9b+hKx1qMikG0Zt4bZUOyLp
y9JpKLp6+AqVhgzEF6FBlSMUu7qQaM2l9kTCUzPuJUIys+XLz3AhSsjdaPYw6sPsKf/iIp6gyNA+
AmZJfdxf89wEJQjdH6KSacNgzrU99fMAZEudpNtHIAT3tHYUAU3DoZaBkt0t8g3hglQAzsfAo9Nu
UrpOIqH4kR6ijDoDj/561+607x7arf8okfC4IRhmyn8duKSABqIZoTTlAriDW7XN+9kfwN5C180u
9gfSvz4O3FqmWXcegh5ssC3f0dLc75a6Ni1RlIsqmVEndPXKO4ZjTn3o7l5sGLgA7Vnb/jfSNUL4
aTGBofveRrGdhIE+Yg3olzQWWleobyOaZbiKTPzUR7WifYpyYDgQxj0D18GStVnmrGDNmIGVTp0D
C+LFfuLwI50EfcU0hhvDDBsYjIHyUKiI9cv9bTy/hbkwCMynFJTUGNxPXoeT7+pgQWaEIYjAFgPU
HSH4ATEQaHXANTdFaI8HNYWHM1TgilIfOPTpCTrlUcJNcPIcj7t2MZoU4dOJvlVQ4jWgJ6JCFoXk
dQzPol4N/Xjs8W7XYjAM3a6iRHcTRoehVhjigOYiYMYBmInjQS/ucOnGBYpySAaD5mMB+RGwFODi
IYE9ohekdqhWpcR97f3e75bKogS73FK5Ra/dQvn100vCyc7/qE2HXdW4ac9Sv1E/3FS51HQ9uXQV
L1PTj8FSdQLkpkp3xt3CkX1ue6WO8GaiH4T5RadAopr2y3F2xwsR0zxjd4J0QZ7w+m34dsKohemT
OsrThQWpPhYI8I4rvgGDQzFItBUD3tee8i0CmnpMP20lcjeyuEg6N8gsY8FiZg8oed83LKWbht+F
2echGKBregaxOUX1VBhqQrM1Z5AF4TZpktTo0ddaYVAlUFADmehJ401Xzo5HpxlEYGwapb5ww6U7
CGZGFRwBoW6W9+08weKFES2k+Q/WZBNvgACytoM0HcSWbsul4k0tvMARB/gQgg165cYxg8C1o9i0
JQmRwZYJztKlnKAilBo9DLw9k2upHAJQsl3tmQgDtyhEsdEA3PGQZK1japHECYBoWy/5XHbhHBmB
Q47CpvMEAY7IXagl0oKpAdaWx+duiDiWTpaDD0jv9TTTi8YP2i7WCQN042jii8YTe7pAdYPO0ZiQ
tqrarvcDaugM5VChyRTWdGPh6aulKT+2VD+6oSFgGEDNQBaRzGux0GOwKRS37YKvRDwzpIGjGP1K
xsPENE1SyFvbBXe8YCbG5pIZeHwlodcx+BFhUCMreMSg3q+SZxd1/0k4UNJA2qfCUTYHgJ0+eKLR
TbHdNxrj242TawxkMKoAagxHBAVXsb5Yjuq3r8QFgHGi+GLhRgXhXOi6guNqRg+vqdg4Mga3KM1P
BkblD0dVyB0q4QxnA+2K9uylE202MSEozEA41ZqYPamVsmB2EAPpqVE6gLATA9WZgEMX9hUlUhFV
akK3Vppzt69fHunoAXuyMkZnmynGVY4r79OYqjM08weBWXtWrDKxlyhE7we627ieMUleA8s7msQP
MK56kDsHgXa12HQbNwYkdyQOjYwLyh2EukBzeDUdNCjqlyoAYtQL7K86UbjrloLPMF609DFASTlK
LLIcDXpkXLR76asHvA6HPQdQ8WCmcRuznTGF5MSeNV/+i85NkWuGHmmac4kZuDQvGmMotz/u/UJr
lGf8PQbWBqjt08wUhlvjlFquNKIMctQM4ghdJBpZmn9sq9ybuJO1Q8vR8dJEC4bfl2p1pBk5mlKc
odAuTY6L4s6dJl0PqTuoL5rc6VDDXH7hRwxOR8udBD1UA+Ex25/HIIFoPnbDQC8f217Psd1XcAL0
MOj9jzUGu+Wl0vYzlTf4LzzKb8PGtOmOF6sjpm7pwQ37mr1BKPq2p6g1kvD6Yk3iCULPlm57sJjG
igwdI45GyPYTUlxAV0dtM9Bhfb23l0AirVcdythoGeawMtoA0gumurrmaGK5p4G9aNfXKTcYXMpz
9BVpyrXBIGvnQK/QroHtdsP2k70uCChDt5cE58v/xW6p/4cPs8AY+ojpsvbkL11/obGCEEusxfdK
dk2rAINoGeiiaCMeapcLjEwGurJrcCGdM20bF0Iry0BESC2rFZL+waRU9XF/dwExziDW2+CAL8dB
1xNzqeikyyWcOFt1hlCWQZThFF/jIu2ZcTcW3qLF0cSgrBwznOVrQZTN2FCF45q7Dpakf9EmpHYr
3TyO9OCNhImvUeW4MlKq+n1RSXE+LQ9dpoYPgBUfiURb9XphX/LmqMXdl98SX+o3ErCa1XP2P9B3
8Ez0xjeA9NqT7biL3tD1PKOIniOPtaqhTA1OtVCSOcwyVR/3Z0eHojd6aLbKkczqUE+dKF25QL1R
q0wXTQNubLVcB3Ffs1aVo0eokxhtNyjbs1/tfaB7adVDhgu68+V/ghIwwb/8llaE3IZf/tfvSb3m
uEpjpmx5jYYCaZSlIv7DQFf4S1NBpwN8bBf8abB2wDnyh4gTjFFvUzoTkWYWVTlycUB7k4ZNX2Wp
PUQcBl0FmkmAySP2u/frmg+CEfUMZOWkK7pzXWNwtH1lOnT9fHMk45rA07iHMac1F6L23J4dp92F
jvZWB8gL0LJOjhoA/UVNeEF9vnnVvmMctqDw2jYum38buvQ2Vxjnv90mc0cVH3MWclL7ie1rwel9
VXs6+OZ7te8U9trUttcAF/H8W5XUrprRbXcj/wrbhSwLWKQVvErG1AI2Fp+GSVePBzDoC8g4aqtT
i6Apwi7MGUU0tb3Uh/3NReQLEunpGQMOrCxaLSrkI7XC1KdisPYpXoa2elSGa6Q5GmgdsUD1QVG2
jKOExjGkgyM40AomsAV6mkxw3NqKbnE0nANoD7giJlwJR2EK+if6QPtIdLOZw329QKO9ZnVVOHCT
PkKOjf3DRAN1ZvY/1dnghbWYBke+hAoEInIFtdRAhSNFcovi2Tignh3dIOdo1c6AYS5lHEepNr1x
MaZSMTpzvhkCa9lTrpKeHp7BZAT1qP339B5VRrIv+uny74Mu2hgV0XT9HM0C9/CJMv44kMsgKlKG
VY4wd8aoB4mxIH6cvhHlPzOtsIYKyRFRblJgMhqWHmQ4wEiSDO1NFwCO0/Gps/EJDHGCJkomjXRG
laP17Kszuiyjih2hW0XVOoN+2zbxyHrNElIJEyYefvnNcyeL/EGr8UTT8IBrgSfoNXNwBTmyrNnx
ym6BjeN3NjIqbza/WsJFP80NOVCmsmY/7/T7VWQrVWZpo7pGamW3b3Cs1rpXN3z3vZywoq58jjpU
lKl9DrzxSq/lxZWGFgHR6+T4GFVljQaQBbbec0U7/G08vgxE4He47+GAwgF66nwjoumOVSVN4Gsb
zRUcVY/NUCz18BdHiJtUghYJ5EhAO4EXmOUTHIi+7R58Cb3D+5ghAngGx6c3pNoXo5CCI3B5Jrzx
Vys+GRIf5wlma2jeJqBQlbLZ37LtILeLXm9NNCoczYOEj47wiXZ9p0PK6DC+opQkb05m3rphot47
i2xsVapZVGlTAOlTmJiLxRAz9Zj92fuAjOASIJjaxgHHYhvl97sGilBffoeXQobtCTwsMQm0zeGw
MJvoGDXDhQx5og6p26DQgeIY+uEE5HX+8dIFJog/+FORn8bhDaZV/QRFBhOZFHHRczj625wgUDaZ
5mtyNLmdyZFUR5h0EMdAiTP08BBwoMK1TfsqZC9cn3SzESJ2R+NldRfSoMm1STocCCIr+mmqkDab
eiFeIMdokJEB8FNT7Nxf1yIAqTX8rMNVvf2yuXDRr7WS0PQdrnstBAE89TNNsgBDYv8Wl0A87yLP
rCilVxxH7YEzDIGUiNh9gaNS4YCPuHHnJUd4Bc06HB1MN9IoEuOoLH4QPkqidXOCI0Zyg5I5nSrH
mSUG/+oCoUgH00AzkRKW/Q/PrYx7iG0VXi4AS2N4gJgimUavUFByzIPn75mlcwzHEZdUBJz94jk/
HOhQWbjowvWQlPm30mmEoGyEUr0s0kwnFmkxzKpwEn+o2SnAsLPflPtgDNtUk9Qqhylxj2YafbUc
k8PuEzTQGotlkMyfsb0yi7yfJTGGuii+ptEwjlzhmpFZ5UCndWiME2Vt1KHNr7sGnLx6HaB5NXQ0
loGxyNHSvmquzXD3Ae/vB2HpxwRTaWAvFppxdZoEUga+LA0DB4zk9iaTd3R8CvAhbR2f/NuQbt5c
YbNn8cO5GyCvokktxwCyuyQySxU50q73X/4ftX8LNy+sGKirPn7tBstzsk0RBFQffZu4aBG25reV
i6J33ymqv60yKxf1L4Ir/f29ZRGO6Hf2lls2eyX0PQ+OyV/+DgAA//8=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228600</xdr:colOff>
      <xdr:row>0</xdr:row>
      <xdr:rowOff>0</xdr:rowOff>
    </xdr:from>
    <xdr:to>
      <xdr:col>11</xdr:col>
      <xdr:colOff>533400</xdr:colOff>
      <xdr:row>14</xdr:row>
      <xdr:rowOff>76200</xdr:rowOff>
    </xdr:to>
    <xdr:graphicFrame macro="">
      <xdr:nvGraphicFramePr>
        <xdr:cNvPr id="2" name="Chart 1">
          <a:extLst>
            <a:ext uri="{FF2B5EF4-FFF2-40B4-BE49-F238E27FC236}">
              <a16:creationId xmlns:a16="http://schemas.microsoft.com/office/drawing/2014/main" id="{0EFF5E3F-B885-257A-E652-C1EBD4254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228599</xdr:colOff>
      <xdr:row>16</xdr:row>
      <xdr:rowOff>142875</xdr:rowOff>
    </xdr:from>
    <xdr:to>
      <xdr:col>11</xdr:col>
      <xdr:colOff>447675</xdr:colOff>
      <xdr:row>29</xdr:row>
      <xdr:rowOff>33337</xdr:rowOff>
    </xdr:to>
    <xdr:graphicFrame macro="">
      <xdr:nvGraphicFramePr>
        <xdr:cNvPr id="3" name="Chart 2">
          <a:extLst>
            <a:ext uri="{FF2B5EF4-FFF2-40B4-BE49-F238E27FC236}">
              <a16:creationId xmlns:a16="http://schemas.microsoft.com/office/drawing/2014/main" id="{508C4CAC-D68B-6B94-EFB6-704FFA326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276225</xdr:colOff>
      <xdr:row>29</xdr:row>
      <xdr:rowOff>185737</xdr:rowOff>
    </xdr:from>
    <xdr:to>
      <xdr:col>11</xdr:col>
      <xdr:colOff>581025</xdr:colOff>
      <xdr:row>44</xdr:row>
      <xdr:rowOff>71437</xdr:rowOff>
    </xdr:to>
    <xdr:graphicFrame macro="">
      <xdr:nvGraphicFramePr>
        <xdr:cNvPr id="4" name="Chart 3">
          <a:extLst>
            <a:ext uri="{FF2B5EF4-FFF2-40B4-BE49-F238E27FC236}">
              <a16:creationId xmlns:a16="http://schemas.microsoft.com/office/drawing/2014/main" id="{B961E923-E31E-C77B-9F6E-E7CC63506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633131</xdr:colOff>
      <xdr:row>49</xdr:row>
      <xdr:rowOff>146798</xdr:rowOff>
    </xdr:from>
    <xdr:to>
      <xdr:col>7</xdr:col>
      <xdr:colOff>465043</xdr:colOff>
      <xdr:row>64</xdr:row>
      <xdr:rowOff>32498</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EEAE579-46DF-7ECC-8F96-004EDEBCBC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524249" y="948129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1316690</xdr:colOff>
      <xdr:row>75</xdr:row>
      <xdr:rowOff>45944</xdr:rowOff>
    </xdr:from>
    <xdr:to>
      <xdr:col>10</xdr:col>
      <xdr:colOff>84043</xdr:colOff>
      <xdr:row>89</xdr:row>
      <xdr:rowOff>122144</xdr:rowOff>
    </xdr:to>
    <xdr:graphicFrame macro="">
      <xdr:nvGraphicFramePr>
        <xdr:cNvPr id="7" name="Chart 6">
          <a:extLst>
            <a:ext uri="{FF2B5EF4-FFF2-40B4-BE49-F238E27FC236}">
              <a16:creationId xmlns:a16="http://schemas.microsoft.com/office/drawing/2014/main" id="{CBF506F8-D7A7-2C24-19E7-24E1FC38E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258536</xdr:colOff>
      <xdr:row>6</xdr:row>
      <xdr:rowOff>40821</xdr:rowOff>
    </xdr:from>
    <xdr:to>
      <xdr:col>12</xdr:col>
      <xdr:colOff>346423</xdr:colOff>
      <xdr:row>19</xdr:row>
      <xdr:rowOff>81643</xdr:rowOff>
    </xdr:to>
    <xdr:graphicFrame macro="">
      <xdr:nvGraphicFramePr>
        <xdr:cNvPr id="3" name="Chart 2">
          <a:extLst>
            <a:ext uri="{FF2B5EF4-FFF2-40B4-BE49-F238E27FC236}">
              <a16:creationId xmlns:a16="http://schemas.microsoft.com/office/drawing/2014/main" id="{EB8A77BD-6230-4A41-925F-44F21ECE0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325060</xdr:colOff>
      <xdr:row>19</xdr:row>
      <xdr:rowOff>166309</xdr:rowOff>
    </xdr:from>
    <xdr:to>
      <xdr:col>21</xdr:col>
      <xdr:colOff>589643</xdr:colOff>
      <xdr:row>33</xdr:row>
      <xdr:rowOff>196547</xdr:rowOff>
    </xdr:to>
    <xdr:graphicFrame macro="">
      <xdr:nvGraphicFramePr>
        <xdr:cNvPr id="4" name="Chart 3">
          <a:extLst>
            <a:ext uri="{FF2B5EF4-FFF2-40B4-BE49-F238E27FC236}">
              <a16:creationId xmlns:a16="http://schemas.microsoft.com/office/drawing/2014/main" id="{DBAB2D29-B5D2-410E-A61C-A01EC3DC8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285749</xdr:colOff>
      <xdr:row>19</xdr:row>
      <xdr:rowOff>95250</xdr:rowOff>
    </xdr:from>
    <xdr:to>
      <xdr:col>12</xdr:col>
      <xdr:colOff>360027</xdr:colOff>
      <xdr:row>33</xdr:row>
      <xdr:rowOff>171450</xdr:rowOff>
    </xdr:to>
    <xdr:graphicFrame macro="">
      <xdr:nvGraphicFramePr>
        <xdr:cNvPr id="5" name="Chart 4">
          <a:extLst>
            <a:ext uri="{FF2B5EF4-FFF2-40B4-BE49-F238E27FC236}">
              <a16:creationId xmlns:a16="http://schemas.microsoft.com/office/drawing/2014/main" id="{4A1156A0-010E-4710-A3B7-8DD952C5C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241905</xdr:colOff>
      <xdr:row>6</xdr:row>
      <xdr:rowOff>94493</xdr:rowOff>
    </xdr:from>
    <xdr:to>
      <xdr:col>28</xdr:col>
      <xdr:colOff>473681</xdr:colOff>
      <xdr:row>11</xdr:row>
      <xdr:rowOff>15120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37376A6-18D0-4A02-12EF-46C1FBE3D08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360953" y="1273779"/>
              <a:ext cx="2046061" cy="903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77108</xdr:colOff>
      <xdr:row>6</xdr:row>
      <xdr:rowOff>116115</xdr:rowOff>
    </xdr:from>
    <xdr:to>
      <xdr:col>25</xdr:col>
      <xdr:colOff>277133</xdr:colOff>
      <xdr:row>12</xdr:row>
      <xdr:rowOff>154214</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AFD960A-8C36-1AA2-A5B8-EECE409F15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81870" y="1295401"/>
              <a:ext cx="2014311" cy="1217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15118</xdr:colOff>
      <xdr:row>7</xdr:row>
      <xdr:rowOff>30238</xdr:rowOff>
    </xdr:from>
    <xdr:to>
      <xdr:col>3</xdr:col>
      <xdr:colOff>60476</xdr:colOff>
      <xdr:row>11</xdr:row>
      <xdr:rowOff>0</xdr:rowOff>
    </xdr:to>
    <xdr:sp macro="" textlink="'Pivot Table'!C56">
      <xdr:nvSpPr>
        <xdr:cNvPr id="12" name="Rectangle: Rounded Corners 11">
          <a:extLst>
            <a:ext uri="{FF2B5EF4-FFF2-40B4-BE49-F238E27FC236}">
              <a16:creationId xmlns:a16="http://schemas.microsoft.com/office/drawing/2014/main" id="{FD95F877-82A6-0101-77C1-01E85A888CE6}"/>
            </a:ext>
          </a:extLst>
        </xdr:cNvPr>
        <xdr:cNvSpPr/>
      </xdr:nvSpPr>
      <xdr:spPr>
        <a:xfrm>
          <a:off x="15118" y="1406071"/>
          <a:ext cx="1859644" cy="755953"/>
        </a:xfrm>
        <a:prstGeom prst="roundRect">
          <a:avLst/>
        </a:prstGeom>
        <a:solidFill>
          <a:schemeClr val="tx2">
            <a:lumMod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3038E3B-6FF7-4007-8F8B-A144E1333933}" type="TxLink">
            <a:rPr lang="en-US" sz="2000" b="1" i="0" u="none" strike="noStrike">
              <a:solidFill>
                <a:schemeClr val="bg1"/>
              </a:solidFill>
              <a:latin typeface="Arial Black" panose="020B0A04020102020204" pitchFamily="34" charset="0"/>
              <a:cs typeface="Calibri"/>
            </a:rPr>
            <a:pPr algn="ctr"/>
            <a:t>1000</a:t>
          </a:fld>
          <a:endParaRPr lang="en-US" sz="2000" b="1">
            <a:solidFill>
              <a:schemeClr val="bg1"/>
            </a:solidFill>
            <a:latin typeface="Arial Black" panose="020B0A04020102020204" pitchFamily="34" charset="0"/>
          </a:endParaRPr>
        </a:p>
      </xdr:txBody>
    </xdr:sp>
    <xdr:clientData/>
  </xdr:twoCellAnchor>
  <xdr:twoCellAnchor>
    <xdr:from>
      <xdr:col>0</xdr:col>
      <xdr:colOff>30238</xdr:colOff>
      <xdr:row>7</xdr:row>
      <xdr:rowOff>45357</xdr:rowOff>
    </xdr:from>
    <xdr:to>
      <xdr:col>3</xdr:col>
      <xdr:colOff>60476</xdr:colOff>
      <xdr:row>9</xdr:row>
      <xdr:rowOff>0</xdr:rowOff>
    </xdr:to>
    <xdr:sp macro="" textlink="">
      <xdr:nvSpPr>
        <xdr:cNvPr id="17" name="TextBox 16">
          <a:extLst>
            <a:ext uri="{FF2B5EF4-FFF2-40B4-BE49-F238E27FC236}">
              <a16:creationId xmlns:a16="http://schemas.microsoft.com/office/drawing/2014/main" id="{701FA2CF-E564-4132-0FB9-4FC78E32794B}"/>
            </a:ext>
          </a:extLst>
        </xdr:cNvPr>
        <xdr:cNvSpPr txBox="1"/>
      </xdr:nvSpPr>
      <xdr:spPr>
        <a:xfrm>
          <a:off x="30238" y="1421190"/>
          <a:ext cx="1844524" cy="347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 Customers</a:t>
          </a:r>
        </a:p>
      </xdr:txBody>
    </xdr:sp>
    <xdr:clientData/>
  </xdr:twoCellAnchor>
  <xdr:twoCellAnchor>
    <xdr:from>
      <xdr:col>0</xdr:col>
      <xdr:colOff>1</xdr:colOff>
      <xdr:row>11</xdr:row>
      <xdr:rowOff>60476</xdr:rowOff>
    </xdr:from>
    <xdr:to>
      <xdr:col>3</xdr:col>
      <xdr:colOff>60477</xdr:colOff>
      <xdr:row>15</xdr:row>
      <xdr:rowOff>60476</xdr:rowOff>
    </xdr:to>
    <xdr:sp macro="" textlink="'Pivot Table'!C60">
      <xdr:nvSpPr>
        <xdr:cNvPr id="18" name="Rectangle: Rounded Corners 17">
          <a:extLst>
            <a:ext uri="{FF2B5EF4-FFF2-40B4-BE49-F238E27FC236}">
              <a16:creationId xmlns:a16="http://schemas.microsoft.com/office/drawing/2014/main" id="{0BF7EDA2-C3BF-4796-918A-EE4CC1CA47D2}"/>
            </a:ext>
          </a:extLst>
        </xdr:cNvPr>
        <xdr:cNvSpPr/>
      </xdr:nvSpPr>
      <xdr:spPr>
        <a:xfrm>
          <a:off x="1" y="2222500"/>
          <a:ext cx="1874762" cy="786190"/>
        </a:xfrm>
        <a:prstGeom prst="roundRect">
          <a:avLst/>
        </a:prstGeom>
        <a:solidFill>
          <a:schemeClr val="tx2">
            <a:lumMod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0B38077-00E0-4632-93B3-D1DCCDA1EC70}" type="TxLink">
            <a:rPr lang="en-US" sz="2000" b="0" i="0" u="none" strike="noStrike">
              <a:solidFill>
                <a:schemeClr val="bg1"/>
              </a:solidFill>
              <a:latin typeface="Arial Black" panose="020B0A04020102020204" pitchFamily="34" charset="0"/>
              <a:cs typeface="Calibri"/>
            </a:rPr>
            <a:t>481</a:t>
          </a:fld>
          <a:endParaRPr lang="en-US" sz="2000" b="1">
            <a:solidFill>
              <a:schemeClr val="bg1"/>
            </a:solidFill>
            <a:latin typeface="Arial Black" panose="020B0A04020102020204" pitchFamily="34" charset="0"/>
          </a:endParaRPr>
        </a:p>
      </xdr:txBody>
    </xdr:sp>
    <xdr:clientData/>
  </xdr:twoCellAnchor>
  <xdr:twoCellAnchor>
    <xdr:from>
      <xdr:col>0</xdr:col>
      <xdr:colOff>15118</xdr:colOff>
      <xdr:row>15</xdr:row>
      <xdr:rowOff>136072</xdr:rowOff>
    </xdr:from>
    <xdr:to>
      <xdr:col>3</xdr:col>
      <xdr:colOff>90714</xdr:colOff>
      <xdr:row>19</xdr:row>
      <xdr:rowOff>181429</xdr:rowOff>
    </xdr:to>
    <xdr:sp macro="" textlink="'Pivot Table'!C63">
      <xdr:nvSpPr>
        <xdr:cNvPr id="19" name="Rectangle: Rounded Corners 18">
          <a:extLst>
            <a:ext uri="{FF2B5EF4-FFF2-40B4-BE49-F238E27FC236}">
              <a16:creationId xmlns:a16="http://schemas.microsoft.com/office/drawing/2014/main" id="{39749DBD-4408-47F0-AAA0-B31E535F6075}"/>
            </a:ext>
          </a:extLst>
        </xdr:cNvPr>
        <xdr:cNvSpPr/>
      </xdr:nvSpPr>
      <xdr:spPr>
        <a:xfrm>
          <a:off x="15118" y="3084286"/>
          <a:ext cx="1889882" cy="831548"/>
        </a:xfrm>
        <a:prstGeom prst="roundRect">
          <a:avLst/>
        </a:prstGeom>
        <a:solidFill>
          <a:schemeClr val="tx2">
            <a:lumMod val="75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591ACF6-54CD-4FB4-AD5E-C1379C1E81CD}" type="TxLink">
            <a:rPr lang="en-US" sz="2000" b="1" i="0" u="none" strike="noStrike">
              <a:solidFill>
                <a:schemeClr val="bg1"/>
              </a:solidFill>
              <a:latin typeface="Calibri"/>
              <a:cs typeface="Calibri"/>
            </a:rPr>
            <a:t>48%</a:t>
          </a:fld>
          <a:endParaRPr lang="en-US" sz="3200" b="1">
            <a:solidFill>
              <a:schemeClr val="bg1"/>
            </a:solidFill>
            <a:latin typeface="Arial Black" panose="020B0A04020102020204" pitchFamily="34" charset="0"/>
          </a:endParaRPr>
        </a:p>
      </xdr:txBody>
    </xdr:sp>
    <xdr:clientData/>
  </xdr:twoCellAnchor>
  <xdr:twoCellAnchor>
    <xdr:from>
      <xdr:col>0</xdr:col>
      <xdr:colOff>0</xdr:colOff>
      <xdr:row>11</xdr:row>
      <xdr:rowOff>90714</xdr:rowOff>
    </xdr:from>
    <xdr:to>
      <xdr:col>3</xdr:col>
      <xdr:colOff>120952</xdr:colOff>
      <xdr:row>13</xdr:row>
      <xdr:rowOff>105833</xdr:rowOff>
    </xdr:to>
    <xdr:sp macro="" textlink="">
      <xdr:nvSpPr>
        <xdr:cNvPr id="21" name="TextBox 20">
          <a:extLst>
            <a:ext uri="{FF2B5EF4-FFF2-40B4-BE49-F238E27FC236}">
              <a16:creationId xmlns:a16="http://schemas.microsoft.com/office/drawing/2014/main" id="{8482CAF2-694F-4DE4-81F4-2D41C44851D5}"/>
            </a:ext>
          </a:extLst>
        </xdr:cNvPr>
        <xdr:cNvSpPr txBox="1"/>
      </xdr:nvSpPr>
      <xdr:spPr>
        <a:xfrm>
          <a:off x="0" y="2252738"/>
          <a:ext cx="1935238"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 Buyers</a:t>
          </a:r>
        </a:p>
      </xdr:txBody>
    </xdr:sp>
    <xdr:clientData/>
  </xdr:twoCellAnchor>
  <xdr:twoCellAnchor>
    <xdr:from>
      <xdr:col>0</xdr:col>
      <xdr:colOff>45355</xdr:colOff>
      <xdr:row>16</xdr:row>
      <xdr:rowOff>1</xdr:rowOff>
    </xdr:from>
    <xdr:to>
      <xdr:col>3</xdr:col>
      <xdr:colOff>90712</xdr:colOff>
      <xdr:row>17</xdr:row>
      <xdr:rowOff>181429</xdr:rowOff>
    </xdr:to>
    <xdr:sp macro="" textlink="">
      <xdr:nvSpPr>
        <xdr:cNvPr id="22" name="TextBox 21">
          <a:extLst>
            <a:ext uri="{FF2B5EF4-FFF2-40B4-BE49-F238E27FC236}">
              <a16:creationId xmlns:a16="http://schemas.microsoft.com/office/drawing/2014/main" id="{ED84AFFD-06FC-491E-8A8E-0A45161A8C3D}"/>
            </a:ext>
          </a:extLst>
        </xdr:cNvPr>
        <xdr:cNvSpPr txBox="1"/>
      </xdr:nvSpPr>
      <xdr:spPr>
        <a:xfrm>
          <a:off x="45355" y="3144763"/>
          <a:ext cx="1859643" cy="37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Conversion</a:t>
          </a:r>
          <a:r>
            <a:rPr lang="en-US" sz="1600" b="1" baseline="0">
              <a:solidFill>
                <a:schemeClr val="bg1"/>
              </a:solidFill>
            </a:rPr>
            <a:t> </a:t>
          </a:r>
          <a:r>
            <a:rPr lang="en-US" sz="1600" b="1">
              <a:solidFill>
                <a:schemeClr val="bg1"/>
              </a:solidFill>
            </a:rPr>
            <a:t> Rate</a:t>
          </a:r>
        </a:p>
      </xdr:txBody>
    </xdr:sp>
    <xdr:clientData/>
  </xdr:twoCellAnchor>
  <xdr:twoCellAnchor editAs="oneCell">
    <xdr:from>
      <xdr:col>28</xdr:col>
      <xdr:colOff>470053</xdr:colOff>
      <xdr:row>6</xdr:row>
      <xdr:rowOff>90563</xdr:rowOff>
    </xdr:from>
    <xdr:to>
      <xdr:col>31</xdr:col>
      <xdr:colOff>484567</xdr:colOff>
      <xdr:row>16</xdr:row>
      <xdr:rowOff>60476</xdr:rowOff>
    </xdr:to>
    <mc:AlternateContent xmlns:mc="http://schemas.openxmlformats.org/markup-compatibility/2006">
      <mc:Choice xmlns:a14="http://schemas.microsoft.com/office/drawing/2010/main" Requires="a14">
        <xdr:graphicFrame macro="">
          <xdr:nvGraphicFramePr>
            <xdr:cNvPr id="23" name="Children">
              <a:extLst>
                <a:ext uri="{FF2B5EF4-FFF2-40B4-BE49-F238E27FC236}">
                  <a16:creationId xmlns:a16="http://schemas.microsoft.com/office/drawing/2014/main" id="{2103A193-9803-1D5B-49C0-3A583D93E01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17403386" y="1269849"/>
              <a:ext cx="1828800" cy="1935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99634</xdr:colOff>
      <xdr:row>12</xdr:row>
      <xdr:rowOff>188837</xdr:rowOff>
    </xdr:from>
    <xdr:to>
      <xdr:col>25</xdr:col>
      <xdr:colOff>317500</xdr:colOff>
      <xdr:row>17</xdr:row>
      <xdr:rowOff>120952</xdr:rowOff>
    </xdr:to>
    <mc:AlternateContent xmlns:mc="http://schemas.openxmlformats.org/markup-compatibility/2006">
      <mc:Choice xmlns:a14="http://schemas.microsoft.com/office/drawing/2010/main" Requires="a14">
        <xdr:graphicFrame macro="">
          <xdr:nvGraphicFramePr>
            <xdr:cNvPr id="24" name="Home Owner">
              <a:extLst>
                <a:ext uri="{FF2B5EF4-FFF2-40B4-BE49-F238E27FC236}">
                  <a16:creationId xmlns:a16="http://schemas.microsoft.com/office/drawing/2014/main" id="{974F01D8-16CE-3EA4-522A-41BFC43E58D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3404396" y="2547408"/>
              <a:ext cx="2032152" cy="914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317499</xdr:colOff>
      <xdr:row>11</xdr:row>
      <xdr:rowOff>30087</xdr:rowOff>
    </xdr:from>
    <xdr:to>
      <xdr:col>28</xdr:col>
      <xdr:colOff>453572</xdr:colOff>
      <xdr:row>19</xdr:row>
      <xdr:rowOff>166310</xdr:rowOff>
    </xdr:to>
    <mc:AlternateContent xmlns:mc="http://schemas.openxmlformats.org/markup-compatibility/2006">
      <mc:Choice xmlns:a14="http://schemas.microsoft.com/office/drawing/2010/main" Requires="a14">
        <xdr:graphicFrame macro="">
          <xdr:nvGraphicFramePr>
            <xdr:cNvPr id="25" name="Cars">
              <a:extLst>
                <a:ext uri="{FF2B5EF4-FFF2-40B4-BE49-F238E27FC236}">
                  <a16:creationId xmlns:a16="http://schemas.microsoft.com/office/drawing/2014/main" id="{8F742EDF-C5B7-1EE0-4E5D-36DCEB707CA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5436547" y="2192111"/>
              <a:ext cx="1950358" cy="1708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105833</xdr:colOff>
      <xdr:row>19</xdr:row>
      <xdr:rowOff>166309</xdr:rowOff>
    </xdr:from>
    <xdr:to>
      <xdr:col>31</xdr:col>
      <xdr:colOff>438452</xdr:colOff>
      <xdr:row>34</xdr:row>
      <xdr:rowOff>15119</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693F613B-7EB1-40C6-AAAE-25FCD43107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410595" y="3900714"/>
              <a:ext cx="5775476" cy="27970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377976</xdr:colOff>
      <xdr:row>6</xdr:row>
      <xdr:rowOff>90714</xdr:rowOff>
    </xdr:from>
    <xdr:to>
      <xdr:col>22</xdr:col>
      <xdr:colOff>15119</xdr:colOff>
      <xdr:row>19</xdr:row>
      <xdr:rowOff>157843</xdr:rowOff>
    </xdr:to>
    <xdr:graphicFrame macro="">
      <xdr:nvGraphicFramePr>
        <xdr:cNvPr id="27" name="Chart 26">
          <a:extLst>
            <a:ext uri="{FF2B5EF4-FFF2-40B4-BE49-F238E27FC236}">
              <a16:creationId xmlns:a16="http://schemas.microsoft.com/office/drawing/2014/main" id="{33010F43-4496-4BDF-8D4B-38D628DFE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 refreshedDate="46192.202684490738" createdVersion="8" refreshedVersion="8" minRefreshableVersion="3" recordCount="1000" xr:uid="{A661595B-98CA-413A-9DB7-2DB1D5E4B91B}">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9">
        <s v="30 or less"/>
        <s v="55 or More"/>
        <s v="31-44"/>
        <s v="45-54"/>
        <s v="Millennials" u="1"/>
        <s v="Old" u="1"/>
        <s v="Middle Age" u="1"/>
        <s v="Late Middle Age" u="1"/>
        <s v="Under 30" u="1"/>
      </sharedItems>
    </cacheField>
    <cacheField name="Age Classification"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386849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s v="Millennials"/>
    <x v="0"/>
  </r>
  <r>
    <n v="24107"/>
    <x v="0"/>
    <x v="1"/>
    <n v="30000"/>
    <x v="1"/>
    <x v="1"/>
    <s v="Clerical"/>
    <x v="0"/>
    <x v="1"/>
    <x v="0"/>
    <x v="0"/>
    <n v="43"/>
    <x v="0"/>
    <s v="Millennials"/>
    <x v="0"/>
  </r>
  <r>
    <n v="14177"/>
    <x v="0"/>
    <x v="1"/>
    <n v="80000"/>
    <x v="2"/>
    <x v="1"/>
    <s v="Professional"/>
    <x v="1"/>
    <x v="2"/>
    <x v="1"/>
    <x v="0"/>
    <n v="60"/>
    <x v="1"/>
    <s v="Old"/>
    <x v="0"/>
  </r>
  <r>
    <n v="24381"/>
    <x v="1"/>
    <x v="1"/>
    <n v="70000"/>
    <x v="3"/>
    <x v="0"/>
    <s v="Professional"/>
    <x v="0"/>
    <x v="1"/>
    <x v="2"/>
    <x v="1"/>
    <n v="41"/>
    <x v="0"/>
    <s v="Millennials"/>
    <x v="1"/>
  </r>
  <r>
    <n v="25597"/>
    <x v="1"/>
    <x v="1"/>
    <n v="30000"/>
    <x v="3"/>
    <x v="0"/>
    <s v="Clerical"/>
    <x v="1"/>
    <x v="0"/>
    <x v="0"/>
    <x v="0"/>
    <n v="36"/>
    <x v="0"/>
    <s v="Millennials"/>
    <x v="1"/>
  </r>
  <r>
    <n v="13507"/>
    <x v="0"/>
    <x v="0"/>
    <n v="10000"/>
    <x v="4"/>
    <x v="1"/>
    <s v="Manual"/>
    <x v="0"/>
    <x v="0"/>
    <x v="3"/>
    <x v="0"/>
    <n v="50"/>
    <x v="2"/>
    <s v="Middle Age"/>
    <x v="0"/>
  </r>
  <r>
    <n v="27974"/>
    <x v="1"/>
    <x v="1"/>
    <n v="160000"/>
    <x v="4"/>
    <x v="2"/>
    <s v="Management"/>
    <x v="0"/>
    <x v="3"/>
    <x v="0"/>
    <x v="1"/>
    <n v="33"/>
    <x v="0"/>
    <s v="Millennials"/>
    <x v="1"/>
  </r>
  <r>
    <n v="19364"/>
    <x v="0"/>
    <x v="1"/>
    <n v="40000"/>
    <x v="0"/>
    <x v="0"/>
    <s v="Skilled Manual"/>
    <x v="0"/>
    <x v="0"/>
    <x v="0"/>
    <x v="0"/>
    <n v="43"/>
    <x v="0"/>
    <s v="Millennials"/>
    <x v="1"/>
  </r>
  <r>
    <n v="22155"/>
    <x v="0"/>
    <x v="1"/>
    <n v="20000"/>
    <x v="4"/>
    <x v="3"/>
    <s v="Clerical"/>
    <x v="0"/>
    <x v="2"/>
    <x v="2"/>
    <x v="1"/>
    <n v="58"/>
    <x v="1"/>
    <s v="Old"/>
    <x v="0"/>
  </r>
  <r>
    <n v="19280"/>
    <x v="0"/>
    <x v="1"/>
    <n v="120000"/>
    <x v="4"/>
    <x v="1"/>
    <s v="Manual"/>
    <x v="0"/>
    <x v="1"/>
    <x v="0"/>
    <x v="0"/>
    <n v="40"/>
    <x v="0"/>
    <s v="Millennials"/>
    <x v="1"/>
  </r>
  <r>
    <n v="22173"/>
    <x v="0"/>
    <x v="0"/>
    <n v="30000"/>
    <x v="1"/>
    <x v="2"/>
    <s v="Skilled Manual"/>
    <x v="1"/>
    <x v="2"/>
    <x v="3"/>
    <x v="1"/>
    <n v="54"/>
    <x v="2"/>
    <s v="Middle Age"/>
    <x v="1"/>
  </r>
  <r>
    <n v="12697"/>
    <x v="1"/>
    <x v="0"/>
    <n v="90000"/>
    <x v="3"/>
    <x v="0"/>
    <s v="Professional"/>
    <x v="1"/>
    <x v="3"/>
    <x v="4"/>
    <x v="1"/>
    <n v="36"/>
    <x v="0"/>
    <s v="Millennials"/>
    <x v="0"/>
  </r>
  <r>
    <n v="11434"/>
    <x v="0"/>
    <x v="1"/>
    <n v="170000"/>
    <x v="2"/>
    <x v="1"/>
    <s v="Professional"/>
    <x v="0"/>
    <x v="0"/>
    <x v="0"/>
    <x v="0"/>
    <n v="55"/>
    <x v="3"/>
    <s v="Late Middle Age"/>
    <x v="0"/>
  </r>
  <r>
    <n v="25323"/>
    <x v="0"/>
    <x v="1"/>
    <n v="40000"/>
    <x v="4"/>
    <x v="1"/>
    <s v="Clerical"/>
    <x v="0"/>
    <x v="1"/>
    <x v="3"/>
    <x v="0"/>
    <n v="35"/>
    <x v="0"/>
    <s v="Millennials"/>
    <x v="1"/>
  </r>
  <r>
    <n v="23542"/>
    <x v="1"/>
    <x v="1"/>
    <n v="60000"/>
    <x v="0"/>
    <x v="1"/>
    <s v="Skilled Manual"/>
    <x v="1"/>
    <x v="1"/>
    <x v="0"/>
    <x v="1"/>
    <n v="45"/>
    <x v="2"/>
    <s v="Middle Age"/>
    <x v="1"/>
  </r>
  <r>
    <n v="20870"/>
    <x v="1"/>
    <x v="0"/>
    <n v="10000"/>
    <x v="4"/>
    <x v="2"/>
    <s v="Manual"/>
    <x v="0"/>
    <x v="1"/>
    <x v="0"/>
    <x v="0"/>
    <n v="38"/>
    <x v="0"/>
    <s v="Millennials"/>
    <x v="1"/>
  </r>
  <r>
    <n v="23316"/>
    <x v="1"/>
    <x v="1"/>
    <n v="30000"/>
    <x v="1"/>
    <x v="1"/>
    <s v="Clerical"/>
    <x v="1"/>
    <x v="2"/>
    <x v="3"/>
    <x v="1"/>
    <n v="59"/>
    <x v="1"/>
    <s v="Old"/>
    <x v="1"/>
  </r>
  <r>
    <n v="12610"/>
    <x v="0"/>
    <x v="0"/>
    <n v="30000"/>
    <x v="0"/>
    <x v="0"/>
    <s v="Clerical"/>
    <x v="0"/>
    <x v="0"/>
    <x v="0"/>
    <x v="0"/>
    <n v="47"/>
    <x v="2"/>
    <s v="Middle Age"/>
    <x v="0"/>
  </r>
  <r>
    <n v="27183"/>
    <x v="1"/>
    <x v="1"/>
    <n v="40000"/>
    <x v="4"/>
    <x v="1"/>
    <s v="Clerical"/>
    <x v="0"/>
    <x v="1"/>
    <x v="3"/>
    <x v="0"/>
    <n v="35"/>
    <x v="0"/>
    <s v="Millennials"/>
    <x v="1"/>
  </r>
  <r>
    <n v="25940"/>
    <x v="1"/>
    <x v="1"/>
    <n v="20000"/>
    <x v="4"/>
    <x v="3"/>
    <s v="Clerical"/>
    <x v="0"/>
    <x v="2"/>
    <x v="2"/>
    <x v="1"/>
    <n v="55"/>
    <x v="3"/>
    <s v="Late Middle Age"/>
    <x v="1"/>
  </r>
  <r>
    <n v="25598"/>
    <x v="0"/>
    <x v="0"/>
    <n v="40000"/>
    <x v="3"/>
    <x v="4"/>
    <s v="Clerical"/>
    <x v="0"/>
    <x v="0"/>
    <x v="0"/>
    <x v="0"/>
    <n v="36"/>
    <x v="0"/>
    <s v="Millennials"/>
    <x v="1"/>
  </r>
  <r>
    <n v="21564"/>
    <x v="1"/>
    <x v="0"/>
    <n v="80000"/>
    <x v="3"/>
    <x v="0"/>
    <s v="Professional"/>
    <x v="0"/>
    <x v="3"/>
    <x v="4"/>
    <x v="1"/>
    <n v="35"/>
    <x v="0"/>
    <s v="Millennials"/>
    <x v="0"/>
  </r>
  <r>
    <n v="19193"/>
    <x v="1"/>
    <x v="1"/>
    <n v="40000"/>
    <x v="4"/>
    <x v="1"/>
    <s v="Clerical"/>
    <x v="0"/>
    <x v="0"/>
    <x v="3"/>
    <x v="0"/>
    <n v="35"/>
    <x v="0"/>
    <s v="Millennials"/>
    <x v="1"/>
  </r>
  <r>
    <n v="26412"/>
    <x v="0"/>
    <x v="0"/>
    <n v="80000"/>
    <x v="2"/>
    <x v="2"/>
    <s v="Management"/>
    <x v="1"/>
    <x v="4"/>
    <x v="2"/>
    <x v="0"/>
    <n v="56"/>
    <x v="1"/>
    <s v="Old"/>
    <x v="0"/>
  </r>
  <r>
    <n v="27184"/>
    <x v="1"/>
    <x v="1"/>
    <n v="40000"/>
    <x v="4"/>
    <x v="1"/>
    <s v="Clerical"/>
    <x v="1"/>
    <x v="1"/>
    <x v="0"/>
    <x v="0"/>
    <n v="34"/>
    <x v="0"/>
    <s v="Millennials"/>
    <x v="0"/>
  </r>
  <r>
    <n v="12590"/>
    <x v="1"/>
    <x v="1"/>
    <n v="30000"/>
    <x v="0"/>
    <x v="0"/>
    <s v="Clerical"/>
    <x v="0"/>
    <x v="0"/>
    <x v="0"/>
    <x v="0"/>
    <n v="63"/>
    <x v="1"/>
    <s v="Old"/>
    <x v="0"/>
  </r>
  <r>
    <n v="17841"/>
    <x v="1"/>
    <x v="1"/>
    <n v="30000"/>
    <x v="3"/>
    <x v="1"/>
    <s v="Clerical"/>
    <x v="1"/>
    <x v="1"/>
    <x v="0"/>
    <x v="0"/>
    <n v="29"/>
    <x v="0"/>
    <s v="Millennials"/>
    <x v="1"/>
  </r>
  <r>
    <n v="18283"/>
    <x v="1"/>
    <x v="0"/>
    <n v="100000"/>
    <x v="3"/>
    <x v="0"/>
    <s v="Professional"/>
    <x v="1"/>
    <x v="1"/>
    <x v="2"/>
    <x v="1"/>
    <n v="40"/>
    <x v="0"/>
    <s v="Millennials"/>
    <x v="0"/>
  </r>
  <r>
    <n v="18299"/>
    <x v="0"/>
    <x v="1"/>
    <n v="70000"/>
    <x v="2"/>
    <x v="1"/>
    <s v="Skilled Manual"/>
    <x v="0"/>
    <x v="2"/>
    <x v="2"/>
    <x v="1"/>
    <n v="44"/>
    <x v="0"/>
    <s v="Millennials"/>
    <x v="0"/>
  </r>
  <r>
    <n v="16466"/>
    <x v="1"/>
    <x v="0"/>
    <n v="20000"/>
    <x v="3"/>
    <x v="3"/>
    <s v="Manual"/>
    <x v="1"/>
    <x v="2"/>
    <x v="0"/>
    <x v="0"/>
    <n v="32"/>
    <x v="0"/>
    <s v="Millennials"/>
    <x v="1"/>
  </r>
  <r>
    <n v="19273"/>
    <x v="0"/>
    <x v="0"/>
    <n v="20000"/>
    <x v="4"/>
    <x v="1"/>
    <s v="Manual"/>
    <x v="0"/>
    <x v="0"/>
    <x v="0"/>
    <x v="0"/>
    <n v="63"/>
    <x v="1"/>
    <s v="Old"/>
    <x v="0"/>
  </r>
  <r>
    <n v="22400"/>
    <x v="0"/>
    <x v="1"/>
    <n v="10000"/>
    <x v="3"/>
    <x v="1"/>
    <s v="Manual"/>
    <x v="1"/>
    <x v="1"/>
    <x v="0"/>
    <x v="1"/>
    <n v="26"/>
    <x v="0"/>
    <s v="Millennials"/>
    <x v="1"/>
  </r>
  <r>
    <n v="20942"/>
    <x v="1"/>
    <x v="0"/>
    <n v="20000"/>
    <x v="3"/>
    <x v="2"/>
    <s v="Manual"/>
    <x v="1"/>
    <x v="1"/>
    <x v="2"/>
    <x v="0"/>
    <n v="31"/>
    <x v="0"/>
    <s v="Millennials"/>
    <x v="0"/>
  </r>
  <r>
    <n v="18484"/>
    <x v="1"/>
    <x v="1"/>
    <n v="80000"/>
    <x v="4"/>
    <x v="2"/>
    <s v="Skilled Manual"/>
    <x v="1"/>
    <x v="2"/>
    <x v="3"/>
    <x v="1"/>
    <n v="50"/>
    <x v="2"/>
    <s v="Middle Age"/>
    <x v="1"/>
  </r>
  <r>
    <n v="12291"/>
    <x v="1"/>
    <x v="1"/>
    <n v="90000"/>
    <x v="2"/>
    <x v="1"/>
    <s v="Professional"/>
    <x v="1"/>
    <x v="2"/>
    <x v="1"/>
    <x v="0"/>
    <n v="62"/>
    <x v="1"/>
    <s v="Old"/>
    <x v="1"/>
  </r>
  <r>
    <n v="28380"/>
    <x v="1"/>
    <x v="0"/>
    <n v="10000"/>
    <x v="2"/>
    <x v="3"/>
    <s v="Manual"/>
    <x v="1"/>
    <x v="2"/>
    <x v="0"/>
    <x v="0"/>
    <n v="41"/>
    <x v="0"/>
    <s v="Millennials"/>
    <x v="0"/>
  </r>
  <r>
    <n v="17891"/>
    <x v="0"/>
    <x v="0"/>
    <n v="10000"/>
    <x v="4"/>
    <x v="1"/>
    <s v="Manual"/>
    <x v="0"/>
    <x v="1"/>
    <x v="0"/>
    <x v="0"/>
    <n v="50"/>
    <x v="2"/>
    <s v="Middle Age"/>
    <x v="1"/>
  </r>
  <r>
    <n v="27832"/>
    <x v="1"/>
    <x v="0"/>
    <n v="30000"/>
    <x v="3"/>
    <x v="1"/>
    <s v="Clerical"/>
    <x v="1"/>
    <x v="1"/>
    <x v="1"/>
    <x v="0"/>
    <n v="30"/>
    <x v="0"/>
    <s v="Millennials"/>
    <x v="0"/>
  </r>
  <r>
    <n v="26863"/>
    <x v="1"/>
    <x v="1"/>
    <n v="20000"/>
    <x v="3"/>
    <x v="2"/>
    <s v="Manual"/>
    <x v="1"/>
    <x v="1"/>
    <x v="1"/>
    <x v="0"/>
    <n v="28"/>
    <x v="0"/>
    <s v="Millennials"/>
    <x v="0"/>
  </r>
  <r>
    <n v="16259"/>
    <x v="1"/>
    <x v="0"/>
    <n v="10000"/>
    <x v="5"/>
    <x v="3"/>
    <s v="Manual"/>
    <x v="0"/>
    <x v="2"/>
    <x v="0"/>
    <x v="0"/>
    <n v="40"/>
    <x v="0"/>
    <s v="Millennials"/>
    <x v="1"/>
  </r>
  <r>
    <n v="27803"/>
    <x v="1"/>
    <x v="0"/>
    <n v="30000"/>
    <x v="4"/>
    <x v="1"/>
    <s v="Clerical"/>
    <x v="1"/>
    <x v="0"/>
    <x v="0"/>
    <x v="0"/>
    <n v="43"/>
    <x v="0"/>
    <s v="Millennials"/>
    <x v="0"/>
  </r>
  <r>
    <n v="14347"/>
    <x v="1"/>
    <x v="0"/>
    <n v="40000"/>
    <x v="4"/>
    <x v="0"/>
    <s v="Management"/>
    <x v="0"/>
    <x v="2"/>
    <x v="2"/>
    <x v="1"/>
    <n v="65"/>
    <x v="1"/>
    <s v="Old"/>
    <x v="1"/>
  </r>
  <r>
    <n v="17703"/>
    <x v="0"/>
    <x v="0"/>
    <n v="10000"/>
    <x v="0"/>
    <x v="4"/>
    <s v="Manual"/>
    <x v="0"/>
    <x v="0"/>
    <x v="0"/>
    <x v="0"/>
    <n v="40"/>
    <x v="0"/>
    <s v="Millennials"/>
    <x v="0"/>
  </r>
  <r>
    <n v="17185"/>
    <x v="0"/>
    <x v="0"/>
    <n v="170000"/>
    <x v="5"/>
    <x v="1"/>
    <s v="Professional"/>
    <x v="1"/>
    <x v="4"/>
    <x v="2"/>
    <x v="0"/>
    <n v="48"/>
    <x v="2"/>
    <s v="Middle Age"/>
    <x v="1"/>
  </r>
  <r>
    <n v="29380"/>
    <x v="0"/>
    <x v="0"/>
    <n v="20000"/>
    <x v="1"/>
    <x v="2"/>
    <s v="Manual"/>
    <x v="0"/>
    <x v="0"/>
    <x v="0"/>
    <x v="0"/>
    <n v="41"/>
    <x v="0"/>
    <s v="Millennials"/>
    <x v="1"/>
  </r>
  <r>
    <n v="23986"/>
    <x v="0"/>
    <x v="0"/>
    <n v="20000"/>
    <x v="0"/>
    <x v="0"/>
    <s v="Clerical"/>
    <x v="0"/>
    <x v="0"/>
    <x v="0"/>
    <x v="0"/>
    <n v="66"/>
    <x v="1"/>
    <s v="Old"/>
    <x v="1"/>
  </r>
  <r>
    <n v="24466"/>
    <x v="0"/>
    <x v="0"/>
    <n v="60000"/>
    <x v="0"/>
    <x v="1"/>
    <s v="Skilled Manual"/>
    <x v="0"/>
    <x v="1"/>
    <x v="2"/>
    <x v="1"/>
    <n v="46"/>
    <x v="2"/>
    <s v="Middle Age"/>
    <x v="1"/>
  </r>
  <r>
    <n v="29097"/>
    <x v="1"/>
    <x v="0"/>
    <n v="40000"/>
    <x v="4"/>
    <x v="1"/>
    <s v="Skilled Manual"/>
    <x v="0"/>
    <x v="2"/>
    <x v="2"/>
    <x v="1"/>
    <n v="52"/>
    <x v="2"/>
    <s v="Middle Age"/>
    <x v="1"/>
  </r>
  <r>
    <n v="19487"/>
    <x v="0"/>
    <x v="1"/>
    <n v="30000"/>
    <x v="4"/>
    <x v="1"/>
    <s v="Clerical"/>
    <x v="1"/>
    <x v="2"/>
    <x v="0"/>
    <x v="0"/>
    <n v="42"/>
    <x v="0"/>
    <s v="Millennials"/>
    <x v="0"/>
  </r>
  <r>
    <n v="14939"/>
    <x v="1"/>
    <x v="1"/>
    <n v="40000"/>
    <x v="3"/>
    <x v="0"/>
    <s v="Clerical"/>
    <x v="0"/>
    <x v="0"/>
    <x v="0"/>
    <x v="0"/>
    <n v="39"/>
    <x v="0"/>
    <s v="Millennials"/>
    <x v="1"/>
  </r>
  <r>
    <n v="13826"/>
    <x v="1"/>
    <x v="0"/>
    <n v="30000"/>
    <x v="3"/>
    <x v="1"/>
    <s v="Clerical"/>
    <x v="1"/>
    <x v="1"/>
    <x v="0"/>
    <x v="0"/>
    <n v="28"/>
    <x v="0"/>
    <s v="Millennials"/>
    <x v="0"/>
  </r>
  <r>
    <n v="20619"/>
    <x v="1"/>
    <x v="1"/>
    <n v="80000"/>
    <x v="3"/>
    <x v="0"/>
    <s v="Professional"/>
    <x v="1"/>
    <x v="3"/>
    <x v="4"/>
    <x v="1"/>
    <n v="35"/>
    <x v="0"/>
    <s v="Millennials"/>
    <x v="0"/>
  </r>
  <r>
    <n v="12558"/>
    <x v="0"/>
    <x v="0"/>
    <n v="20000"/>
    <x v="0"/>
    <x v="0"/>
    <s v="Clerical"/>
    <x v="0"/>
    <x v="0"/>
    <x v="0"/>
    <x v="0"/>
    <n v="65"/>
    <x v="1"/>
    <s v="Old"/>
    <x v="0"/>
  </r>
  <r>
    <n v="24871"/>
    <x v="1"/>
    <x v="0"/>
    <n v="90000"/>
    <x v="5"/>
    <x v="2"/>
    <s v="Management"/>
    <x v="1"/>
    <x v="4"/>
    <x v="2"/>
    <x v="0"/>
    <n v="56"/>
    <x v="1"/>
    <s v="Old"/>
    <x v="0"/>
  </r>
  <r>
    <n v="17319"/>
    <x v="1"/>
    <x v="0"/>
    <n v="70000"/>
    <x v="3"/>
    <x v="0"/>
    <s v="Professional"/>
    <x v="1"/>
    <x v="1"/>
    <x v="2"/>
    <x v="1"/>
    <n v="42"/>
    <x v="0"/>
    <s v="Millennials"/>
    <x v="0"/>
  </r>
  <r>
    <n v="28906"/>
    <x v="0"/>
    <x v="1"/>
    <n v="80000"/>
    <x v="5"/>
    <x v="2"/>
    <s v="Professional"/>
    <x v="0"/>
    <x v="2"/>
    <x v="4"/>
    <x v="0"/>
    <n v="54"/>
    <x v="2"/>
    <s v="Middle Age"/>
    <x v="0"/>
  </r>
  <r>
    <n v="12808"/>
    <x v="0"/>
    <x v="1"/>
    <n v="40000"/>
    <x v="3"/>
    <x v="0"/>
    <s v="Clerical"/>
    <x v="0"/>
    <x v="0"/>
    <x v="0"/>
    <x v="0"/>
    <n v="38"/>
    <x v="0"/>
    <s v="Millennials"/>
    <x v="1"/>
  </r>
  <r>
    <n v="20567"/>
    <x v="0"/>
    <x v="1"/>
    <n v="130000"/>
    <x v="5"/>
    <x v="1"/>
    <s v="Professional"/>
    <x v="1"/>
    <x v="3"/>
    <x v="2"/>
    <x v="0"/>
    <n v="61"/>
    <x v="1"/>
    <s v="Old"/>
    <x v="1"/>
  </r>
  <r>
    <n v="25502"/>
    <x v="0"/>
    <x v="0"/>
    <n v="40000"/>
    <x v="0"/>
    <x v="0"/>
    <s v="Skilled Manual"/>
    <x v="0"/>
    <x v="0"/>
    <x v="0"/>
    <x v="0"/>
    <n v="43"/>
    <x v="0"/>
    <s v="Millennials"/>
    <x v="1"/>
  </r>
  <r>
    <n v="15580"/>
    <x v="0"/>
    <x v="1"/>
    <n v="60000"/>
    <x v="4"/>
    <x v="0"/>
    <s v="Professional"/>
    <x v="0"/>
    <x v="1"/>
    <x v="1"/>
    <x v="1"/>
    <n v="38"/>
    <x v="0"/>
    <s v="Millennials"/>
    <x v="1"/>
  </r>
  <r>
    <n v="24185"/>
    <x v="1"/>
    <x v="0"/>
    <n v="10000"/>
    <x v="0"/>
    <x v="2"/>
    <s v="Manual"/>
    <x v="1"/>
    <x v="1"/>
    <x v="3"/>
    <x v="0"/>
    <n v="45"/>
    <x v="2"/>
    <s v="Middle Age"/>
    <x v="0"/>
  </r>
  <r>
    <n v="19291"/>
    <x v="1"/>
    <x v="0"/>
    <n v="10000"/>
    <x v="4"/>
    <x v="2"/>
    <s v="Manual"/>
    <x v="0"/>
    <x v="0"/>
    <x v="0"/>
    <x v="0"/>
    <n v="35"/>
    <x v="0"/>
    <s v="Millennials"/>
    <x v="0"/>
  </r>
  <r>
    <n v="16713"/>
    <x v="0"/>
    <x v="1"/>
    <n v="40000"/>
    <x v="4"/>
    <x v="0"/>
    <s v="Management"/>
    <x v="0"/>
    <x v="1"/>
    <x v="0"/>
    <x v="1"/>
    <n v="52"/>
    <x v="2"/>
    <s v="Middle Age"/>
    <x v="1"/>
  </r>
  <r>
    <n v="16185"/>
    <x v="1"/>
    <x v="1"/>
    <n v="60000"/>
    <x v="5"/>
    <x v="0"/>
    <s v="Professional"/>
    <x v="0"/>
    <x v="4"/>
    <x v="4"/>
    <x v="1"/>
    <n v="41"/>
    <x v="0"/>
    <s v="Millennials"/>
    <x v="0"/>
  </r>
  <r>
    <n v="14927"/>
    <x v="0"/>
    <x v="0"/>
    <n v="30000"/>
    <x v="0"/>
    <x v="0"/>
    <s v="Clerical"/>
    <x v="0"/>
    <x v="0"/>
    <x v="0"/>
    <x v="0"/>
    <n v="37"/>
    <x v="0"/>
    <s v="Millennials"/>
    <x v="1"/>
  </r>
  <r>
    <n v="29337"/>
    <x v="1"/>
    <x v="1"/>
    <n v="30000"/>
    <x v="4"/>
    <x v="1"/>
    <s v="Clerical"/>
    <x v="0"/>
    <x v="2"/>
    <x v="2"/>
    <x v="1"/>
    <n v="68"/>
    <x v="1"/>
    <s v="Old"/>
    <x v="0"/>
  </r>
  <r>
    <n v="29355"/>
    <x v="0"/>
    <x v="0"/>
    <n v="40000"/>
    <x v="3"/>
    <x v="4"/>
    <s v="Clerical"/>
    <x v="0"/>
    <x v="0"/>
    <x v="0"/>
    <x v="0"/>
    <n v="37"/>
    <x v="0"/>
    <s v="Millennials"/>
    <x v="1"/>
  </r>
  <r>
    <n v="25303"/>
    <x v="1"/>
    <x v="1"/>
    <n v="30000"/>
    <x v="3"/>
    <x v="2"/>
    <s v="Manual"/>
    <x v="0"/>
    <x v="1"/>
    <x v="1"/>
    <x v="0"/>
    <n v="33"/>
    <x v="0"/>
    <s v="Millennials"/>
    <x v="1"/>
  </r>
  <r>
    <n v="14813"/>
    <x v="1"/>
    <x v="0"/>
    <n v="20000"/>
    <x v="5"/>
    <x v="2"/>
    <s v="Manual"/>
    <x v="0"/>
    <x v="1"/>
    <x v="0"/>
    <x v="0"/>
    <n v="43"/>
    <x v="0"/>
    <s v="Millennials"/>
    <x v="1"/>
  </r>
  <r>
    <n v="16438"/>
    <x v="0"/>
    <x v="0"/>
    <n v="10000"/>
    <x v="3"/>
    <x v="3"/>
    <s v="Manual"/>
    <x v="1"/>
    <x v="2"/>
    <x v="0"/>
    <x v="0"/>
    <n v="30"/>
    <x v="0"/>
    <s v="Millennials"/>
    <x v="0"/>
  </r>
  <r>
    <n v="14238"/>
    <x v="0"/>
    <x v="1"/>
    <n v="120000"/>
    <x v="3"/>
    <x v="3"/>
    <s v="Professional"/>
    <x v="0"/>
    <x v="3"/>
    <x v="4"/>
    <x v="1"/>
    <n v="36"/>
    <x v="0"/>
    <s v="Millennials"/>
    <x v="1"/>
  </r>
  <r>
    <n v="16200"/>
    <x v="1"/>
    <x v="0"/>
    <n v="10000"/>
    <x v="3"/>
    <x v="3"/>
    <s v="Manual"/>
    <x v="1"/>
    <x v="2"/>
    <x v="0"/>
    <x v="0"/>
    <n v="35"/>
    <x v="0"/>
    <s v="Millennials"/>
    <x v="0"/>
  </r>
  <r>
    <n v="24857"/>
    <x v="0"/>
    <x v="0"/>
    <n v="130000"/>
    <x v="1"/>
    <x v="2"/>
    <s v="Professional"/>
    <x v="0"/>
    <x v="3"/>
    <x v="0"/>
    <x v="0"/>
    <n v="52"/>
    <x v="2"/>
    <s v="Middle Age"/>
    <x v="0"/>
  </r>
  <r>
    <n v="26956"/>
    <x v="1"/>
    <x v="0"/>
    <n v="20000"/>
    <x v="3"/>
    <x v="1"/>
    <s v="Manual"/>
    <x v="1"/>
    <x v="1"/>
    <x v="1"/>
    <x v="0"/>
    <n v="36"/>
    <x v="0"/>
    <s v="Millennials"/>
    <x v="1"/>
  </r>
  <r>
    <n v="14517"/>
    <x v="0"/>
    <x v="0"/>
    <n v="20000"/>
    <x v="1"/>
    <x v="2"/>
    <s v="Skilled Manual"/>
    <x v="1"/>
    <x v="2"/>
    <x v="3"/>
    <x v="1"/>
    <n v="62"/>
    <x v="1"/>
    <s v="Old"/>
    <x v="0"/>
  </r>
  <r>
    <n v="12678"/>
    <x v="1"/>
    <x v="0"/>
    <n v="130000"/>
    <x v="5"/>
    <x v="2"/>
    <s v="Management"/>
    <x v="0"/>
    <x v="3"/>
    <x v="0"/>
    <x v="1"/>
    <n v="31"/>
    <x v="0"/>
    <s v="Millennials"/>
    <x v="0"/>
  </r>
  <r>
    <n v="16188"/>
    <x v="1"/>
    <x v="0"/>
    <n v="20000"/>
    <x v="3"/>
    <x v="3"/>
    <s v="Manual"/>
    <x v="1"/>
    <x v="2"/>
    <x v="3"/>
    <x v="0"/>
    <n v="26"/>
    <x v="0"/>
    <s v="Millennials"/>
    <x v="0"/>
  </r>
  <r>
    <n v="27969"/>
    <x v="0"/>
    <x v="1"/>
    <n v="80000"/>
    <x v="3"/>
    <x v="0"/>
    <s v="Professional"/>
    <x v="0"/>
    <x v="2"/>
    <x v="4"/>
    <x v="1"/>
    <n v="29"/>
    <x v="0"/>
    <s v="Millennials"/>
    <x v="1"/>
  </r>
  <r>
    <n v="15752"/>
    <x v="0"/>
    <x v="1"/>
    <n v="80000"/>
    <x v="4"/>
    <x v="2"/>
    <s v="Skilled Manual"/>
    <x v="1"/>
    <x v="2"/>
    <x v="3"/>
    <x v="1"/>
    <n v="50"/>
    <x v="2"/>
    <s v="Middle Age"/>
    <x v="1"/>
  </r>
  <r>
    <n v="27745"/>
    <x v="1"/>
    <x v="1"/>
    <n v="40000"/>
    <x v="4"/>
    <x v="0"/>
    <s v="Management"/>
    <x v="0"/>
    <x v="2"/>
    <x v="2"/>
    <x v="1"/>
    <n v="63"/>
    <x v="1"/>
    <s v="Old"/>
    <x v="1"/>
  </r>
  <r>
    <n v="20828"/>
    <x v="0"/>
    <x v="0"/>
    <n v="30000"/>
    <x v="5"/>
    <x v="4"/>
    <s v="Clerical"/>
    <x v="0"/>
    <x v="0"/>
    <x v="0"/>
    <x v="0"/>
    <n v="45"/>
    <x v="2"/>
    <s v="Middle Age"/>
    <x v="1"/>
  </r>
  <r>
    <n v="19461"/>
    <x v="1"/>
    <x v="0"/>
    <n v="10000"/>
    <x v="5"/>
    <x v="3"/>
    <s v="Manual"/>
    <x v="0"/>
    <x v="2"/>
    <x v="0"/>
    <x v="0"/>
    <n v="40"/>
    <x v="0"/>
    <s v="Millennials"/>
    <x v="0"/>
  </r>
  <r>
    <n v="26941"/>
    <x v="0"/>
    <x v="1"/>
    <n v="30000"/>
    <x v="3"/>
    <x v="0"/>
    <s v="Clerical"/>
    <x v="0"/>
    <x v="0"/>
    <x v="0"/>
    <x v="0"/>
    <n v="47"/>
    <x v="2"/>
    <s v="Middle Age"/>
    <x v="1"/>
  </r>
  <r>
    <n v="28412"/>
    <x v="1"/>
    <x v="1"/>
    <n v="20000"/>
    <x v="3"/>
    <x v="2"/>
    <s v="Manual"/>
    <x v="1"/>
    <x v="1"/>
    <x v="1"/>
    <x v="0"/>
    <n v="29"/>
    <x v="0"/>
    <s v="Millennials"/>
    <x v="0"/>
  </r>
  <r>
    <n v="24485"/>
    <x v="1"/>
    <x v="1"/>
    <n v="40000"/>
    <x v="4"/>
    <x v="0"/>
    <s v="Management"/>
    <x v="1"/>
    <x v="1"/>
    <x v="2"/>
    <x v="1"/>
    <n v="52"/>
    <x v="2"/>
    <s v="Middle Age"/>
    <x v="1"/>
  </r>
  <r>
    <n v="16514"/>
    <x v="1"/>
    <x v="1"/>
    <n v="10000"/>
    <x v="3"/>
    <x v="1"/>
    <s v="Manual"/>
    <x v="0"/>
    <x v="1"/>
    <x v="3"/>
    <x v="1"/>
    <n v="26"/>
    <x v="0"/>
    <s v="Millennials"/>
    <x v="1"/>
  </r>
  <r>
    <n v="17191"/>
    <x v="1"/>
    <x v="1"/>
    <n v="130000"/>
    <x v="1"/>
    <x v="1"/>
    <s v="Professional"/>
    <x v="1"/>
    <x v="4"/>
    <x v="0"/>
    <x v="0"/>
    <n v="51"/>
    <x v="2"/>
    <s v="Middle Age"/>
    <x v="1"/>
  </r>
  <r>
    <n v="19608"/>
    <x v="0"/>
    <x v="1"/>
    <n v="80000"/>
    <x v="2"/>
    <x v="0"/>
    <s v="Professional"/>
    <x v="0"/>
    <x v="3"/>
    <x v="3"/>
    <x v="1"/>
    <n v="40"/>
    <x v="0"/>
    <s v="Millennials"/>
    <x v="0"/>
  </r>
  <r>
    <n v="24119"/>
    <x v="1"/>
    <x v="1"/>
    <n v="30000"/>
    <x v="3"/>
    <x v="1"/>
    <s v="Clerical"/>
    <x v="1"/>
    <x v="1"/>
    <x v="1"/>
    <x v="0"/>
    <n v="29"/>
    <x v="0"/>
    <s v="Millennials"/>
    <x v="0"/>
  </r>
  <r>
    <n v="25458"/>
    <x v="0"/>
    <x v="1"/>
    <n v="20000"/>
    <x v="0"/>
    <x v="2"/>
    <s v="Manual"/>
    <x v="1"/>
    <x v="1"/>
    <x v="3"/>
    <x v="0"/>
    <n v="40"/>
    <x v="0"/>
    <s v="Millennials"/>
    <x v="1"/>
  </r>
  <r>
    <n v="26886"/>
    <x v="1"/>
    <x v="0"/>
    <n v="30000"/>
    <x v="3"/>
    <x v="1"/>
    <s v="Clerical"/>
    <x v="1"/>
    <x v="1"/>
    <x v="0"/>
    <x v="0"/>
    <n v="29"/>
    <x v="0"/>
    <s v="Millennials"/>
    <x v="1"/>
  </r>
  <r>
    <n v="28436"/>
    <x v="1"/>
    <x v="1"/>
    <n v="30000"/>
    <x v="3"/>
    <x v="1"/>
    <s v="Clerical"/>
    <x v="1"/>
    <x v="1"/>
    <x v="0"/>
    <x v="0"/>
    <n v="30"/>
    <x v="0"/>
    <s v="Millennials"/>
    <x v="1"/>
  </r>
  <r>
    <n v="19562"/>
    <x v="1"/>
    <x v="0"/>
    <n v="60000"/>
    <x v="4"/>
    <x v="0"/>
    <s v="Professional"/>
    <x v="0"/>
    <x v="1"/>
    <x v="1"/>
    <x v="1"/>
    <n v="37"/>
    <x v="0"/>
    <s v="Millennials"/>
    <x v="1"/>
  </r>
  <r>
    <n v="15608"/>
    <x v="1"/>
    <x v="0"/>
    <n v="30000"/>
    <x v="3"/>
    <x v="1"/>
    <s v="Clerical"/>
    <x v="1"/>
    <x v="1"/>
    <x v="1"/>
    <x v="0"/>
    <n v="33"/>
    <x v="0"/>
    <s v="Millennials"/>
    <x v="0"/>
  </r>
  <r>
    <n v="16487"/>
    <x v="1"/>
    <x v="0"/>
    <n v="30000"/>
    <x v="1"/>
    <x v="2"/>
    <s v="Skilled Manual"/>
    <x v="0"/>
    <x v="2"/>
    <x v="2"/>
    <x v="1"/>
    <n v="55"/>
    <x v="3"/>
    <s v="Late Middle Age"/>
    <x v="0"/>
  </r>
  <r>
    <n v="17197"/>
    <x v="1"/>
    <x v="0"/>
    <n v="90000"/>
    <x v="2"/>
    <x v="1"/>
    <s v="Professional"/>
    <x v="0"/>
    <x v="2"/>
    <x v="4"/>
    <x v="0"/>
    <n v="62"/>
    <x v="1"/>
    <s v="Old"/>
    <x v="0"/>
  </r>
  <r>
    <n v="12507"/>
    <x v="0"/>
    <x v="1"/>
    <n v="30000"/>
    <x v="0"/>
    <x v="1"/>
    <s v="Clerical"/>
    <x v="0"/>
    <x v="1"/>
    <x v="0"/>
    <x v="0"/>
    <n v="43"/>
    <x v="0"/>
    <s v="Millennials"/>
    <x v="0"/>
  </r>
  <r>
    <n v="23940"/>
    <x v="0"/>
    <x v="1"/>
    <n v="40000"/>
    <x v="0"/>
    <x v="0"/>
    <s v="Skilled Manual"/>
    <x v="0"/>
    <x v="1"/>
    <x v="0"/>
    <x v="0"/>
    <n v="44"/>
    <x v="0"/>
    <s v="Millennials"/>
    <x v="1"/>
  </r>
  <r>
    <n v="19441"/>
    <x v="0"/>
    <x v="1"/>
    <n v="40000"/>
    <x v="3"/>
    <x v="4"/>
    <s v="Clerical"/>
    <x v="0"/>
    <x v="0"/>
    <x v="0"/>
    <x v="0"/>
    <n v="25"/>
    <x v="0"/>
    <s v="Millennials"/>
    <x v="1"/>
  </r>
  <r>
    <n v="26852"/>
    <x v="0"/>
    <x v="0"/>
    <n v="20000"/>
    <x v="1"/>
    <x v="2"/>
    <s v="Manual"/>
    <x v="0"/>
    <x v="2"/>
    <x v="0"/>
    <x v="0"/>
    <n v="43"/>
    <x v="0"/>
    <s v="Millennials"/>
    <x v="0"/>
  </r>
  <r>
    <n v="12274"/>
    <x v="1"/>
    <x v="1"/>
    <n v="10000"/>
    <x v="4"/>
    <x v="2"/>
    <s v="Manual"/>
    <x v="0"/>
    <x v="0"/>
    <x v="0"/>
    <x v="0"/>
    <n v="35"/>
    <x v="0"/>
    <s v="Millennials"/>
    <x v="0"/>
  </r>
  <r>
    <n v="20236"/>
    <x v="1"/>
    <x v="1"/>
    <n v="60000"/>
    <x v="1"/>
    <x v="0"/>
    <s v="Professional"/>
    <x v="1"/>
    <x v="2"/>
    <x v="0"/>
    <x v="1"/>
    <n v="43"/>
    <x v="0"/>
    <s v="Millennials"/>
    <x v="1"/>
  </r>
  <r>
    <n v="24149"/>
    <x v="0"/>
    <x v="1"/>
    <n v="10000"/>
    <x v="4"/>
    <x v="1"/>
    <s v="Manual"/>
    <x v="0"/>
    <x v="0"/>
    <x v="3"/>
    <x v="0"/>
    <n v="49"/>
    <x v="2"/>
    <s v="Middle Age"/>
    <x v="0"/>
  </r>
  <r>
    <n v="26139"/>
    <x v="1"/>
    <x v="1"/>
    <n v="60000"/>
    <x v="0"/>
    <x v="1"/>
    <s v="Skilled Manual"/>
    <x v="0"/>
    <x v="1"/>
    <x v="2"/>
    <x v="1"/>
    <n v="45"/>
    <x v="2"/>
    <s v="Middle Age"/>
    <x v="0"/>
  </r>
  <r>
    <n v="18491"/>
    <x v="1"/>
    <x v="0"/>
    <n v="70000"/>
    <x v="4"/>
    <x v="2"/>
    <s v="Professional"/>
    <x v="0"/>
    <x v="2"/>
    <x v="2"/>
    <x v="1"/>
    <n v="49"/>
    <x v="2"/>
    <s v="Middle Age"/>
    <x v="1"/>
  </r>
  <r>
    <n v="22707"/>
    <x v="1"/>
    <x v="0"/>
    <n v="30000"/>
    <x v="3"/>
    <x v="1"/>
    <s v="Clerical"/>
    <x v="1"/>
    <x v="1"/>
    <x v="1"/>
    <x v="0"/>
    <n v="30"/>
    <x v="0"/>
    <s v="Millennials"/>
    <x v="0"/>
  </r>
  <r>
    <n v="20430"/>
    <x v="0"/>
    <x v="1"/>
    <n v="70000"/>
    <x v="4"/>
    <x v="1"/>
    <s v="Skilled Manual"/>
    <x v="0"/>
    <x v="2"/>
    <x v="2"/>
    <x v="1"/>
    <n v="52"/>
    <x v="2"/>
    <s v="Middle Age"/>
    <x v="1"/>
  </r>
  <r>
    <n v="27494"/>
    <x v="1"/>
    <x v="0"/>
    <n v="40000"/>
    <x v="4"/>
    <x v="1"/>
    <s v="Skilled Manual"/>
    <x v="1"/>
    <x v="2"/>
    <x v="3"/>
    <x v="1"/>
    <n v="53"/>
    <x v="2"/>
    <s v="Middle Age"/>
    <x v="1"/>
  </r>
  <r>
    <n v="26829"/>
    <x v="0"/>
    <x v="0"/>
    <n v="40000"/>
    <x v="3"/>
    <x v="0"/>
    <s v="Clerical"/>
    <x v="0"/>
    <x v="0"/>
    <x v="0"/>
    <x v="0"/>
    <n v="38"/>
    <x v="0"/>
    <s v="Millennials"/>
    <x v="1"/>
  </r>
  <r>
    <n v="28395"/>
    <x v="1"/>
    <x v="1"/>
    <n v="40000"/>
    <x v="3"/>
    <x v="0"/>
    <s v="Professional"/>
    <x v="1"/>
    <x v="0"/>
    <x v="0"/>
    <x v="0"/>
    <n v="39"/>
    <x v="0"/>
    <s v="Millennials"/>
    <x v="1"/>
  </r>
  <r>
    <n v="21006"/>
    <x v="1"/>
    <x v="0"/>
    <n v="30000"/>
    <x v="0"/>
    <x v="1"/>
    <s v="Manual"/>
    <x v="1"/>
    <x v="0"/>
    <x v="0"/>
    <x v="0"/>
    <n v="46"/>
    <x v="2"/>
    <s v="Middle Age"/>
    <x v="1"/>
  </r>
  <r>
    <n v="14682"/>
    <x v="1"/>
    <x v="0"/>
    <n v="70000"/>
    <x v="3"/>
    <x v="0"/>
    <s v="Professional"/>
    <x v="1"/>
    <x v="1"/>
    <x v="2"/>
    <x v="1"/>
    <n v="38"/>
    <x v="0"/>
    <s v="Millennials"/>
    <x v="0"/>
  </r>
  <r>
    <n v="17650"/>
    <x v="1"/>
    <x v="0"/>
    <n v="40000"/>
    <x v="4"/>
    <x v="1"/>
    <s v="Clerical"/>
    <x v="0"/>
    <x v="2"/>
    <x v="3"/>
    <x v="0"/>
    <n v="35"/>
    <x v="0"/>
    <s v="Millennials"/>
    <x v="0"/>
  </r>
  <r>
    <n v="29191"/>
    <x v="1"/>
    <x v="0"/>
    <n v="130000"/>
    <x v="0"/>
    <x v="4"/>
    <s v="Management"/>
    <x v="1"/>
    <x v="1"/>
    <x v="0"/>
    <x v="1"/>
    <n v="36"/>
    <x v="0"/>
    <s v="Millennials"/>
    <x v="1"/>
  </r>
  <r>
    <n v="15030"/>
    <x v="0"/>
    <x v="1"/>
    <n v="20000"/>
    <x v="3"/>
    <x v="0"/>
    <s v="Clerical"/>
    <x v="0"/>
    <x v="0"/>
    <x v="0"/>
    <x v="1"/>
    <n v="26"/>
    <x v="0"/>
    <s v="Millennials"/>
    <x v="1"/>
  </r>
  <r>
    <n v="24140"/>
    <x v="1"/>
    <x v="1"/>
    <n v="10000"/>
    <x v="3"/>
    <x v="4"/>
    <s v="Manual"/>
    <x v="1"/>
    <x v="0"/>
    <x v="0"/>
    <x v="0"/>
    <n v="30"/>
    <x v="0"/>
    <s v="Millennials"/>
    <x v="1"/>
  </r>
  <r>
    <n v="22496"/>
    <x v="0"/>
    <x v="0"/>
    <n v="30000"/>
    <x v="0"/>
    <x v="0"/>
    <s v="Skilled Manual"/>
    <x v="0"/>
    <x v="2"/>
    <x v="0"/>
    <x v="0"/>
    <n v="42"/>
    <x v="0"/>
    <s v="Millennials"/>
    <x v="0"/>
  </r>
  <r>
    <n v="24065"/>
    <x v="1"/>
    <x v="0"/>
    <n v="20000"/>
    <x v="3"/>
    <x v="2"/>
    <s v="Manual"/>
    <x v="0"/>
    <x v="0"/>
    <x v="0"/>
    <x v="0"/>
    <n v="40"/>
    <x v="0"/>
    <s v="Millennials"/>
    <x v="1"/>
  </r>
  <r>
    <n v="19914"/>
    <x v="0"/>
    <x v="1"/>
    <n v="80000"/>
    <x v="2"/>
    <x v="0"/>
    <s v="Management"/>
    <x v="0"/>
    <x v="2"/>
    <x v="1"/>
    <x v="0"/>
    <n v="62"/>
    <x v="1"/>
    <s v="Old"/>
    <x v="0"/>
  </r>
  <r>
    <n v="12871"/>
    <x v="1"/>
    <x v="0"/>
    <n v="30000"/>
    <x v="3"/>
    <x v="1"/>
    <s v="Clerical"/>
    <x v="1"/>
    <x v="1"/>
    <x v="1"/>
    <x v="0"/>
    <n v="29"/>
    <x v="0"/>
    <s v="Millennials"/>
    <x v="0"/>
  </r>
  <r>
    <n v="22988"/>
    <x v="0"/>
    <x v="0"/>
    <n v="40000"/>
    <x v="4"/>
    <x v="0"/>
    <s v="Management"/>
    <x v="0"/>
    <x v="2"/>
    <x v="2"/>
    <x v="1"/>
    <n v="66"/>
    <x v="1"/>
    <s v="Old"/>
    <x v="1"/>
  </r>
  <r>
    <n v="15922"/>
    <x v="0"/>
    <x v="1"/>
    <n v="150000"/>
    <x v="4"/>
    <x v="2"/>
    <s v="Professional"/>
    <x v="0"/>
    <x v="3"/>
    <x v="0"/>
    <x v="0"/>
    <n v="48"/>
    <x v="2"/>
    <s v="Middle Age"/>
    <x v="0"/>
  </r>
  <r>
    <n v="12344"/>
    <x v="1"/>
    <x v="0"/>
    <n v="80000"/>
    <x v="3"/>
    <x v="0"/>
    <s v="Professional"/>
    <x v="1"/>
    <x v="4"/>
    <x v="4"/>
    <x v="1"/>
    <n v="31"/>
    <x v="0"/>
    <s v="Millennials"/>
    <x v="0"/>
  </r>
  <r>
    <n v="23627"/>
    <x v="1"/>
    <x v="0"/>
    <n v="100000"/>
    <x v="1"/>
    <x v="1"/>
    <s v="Management"/>
    <x v="1"/>
    <x v="3"/>
    <x v="2"/>
    <x v="0"/>
    <n v="56"/>
    <x v="1"/>
    <s v="Old"/>
    <x v="0"/>
  </r>
  <r>
    <n v="27775"/>
    <x v="1"/>
    <x v="0"/>
    <n v="40000"/>
    <x v="3"/>
    <x v="0"/>
    <s v="Clerical"/>
    <x v="1"/>
    <x v="0"/>
    <x v="0"/>
    <x v="0"/>
    <n v="38"/>
    <x v="0"/>
    <s v="Millennials"/>
    <x v="1"/>
  </r>
  <r>
    <n v="29301"/>
    <x v="0"/>
    <x v="1"/>
    <n v="80000"/>
    <x v="2"/>
    <x v="0"/>
    <s v="Professional"/>
    <x v="0"/>
    <x v="3"/>
    <x v="3"/>
    <x v="1"/>
    <n v="40"/>
    <x v="0"/>
    <s v="Millennials"/>
    <x v="0"/>
  </r>
  <r>
    <n v="12716"/>
    <x v="1"/>
    <x v="1"/>
    <n v="30000"/>
    <x v="3"/>
    <x v="1"/>
    <s v="Clerical"/>
    <x v="0"/>
    <x v="1"/>
    <x v="1"/>
    <x v="0"/>
    <n v="32"/>
    <x v="0"/>
    <s v="Millennials"/>
    <x v="0"/>
  </r>
  <r>
    <n v="12472"/>
    <x v="0"/>
    <x v="1"/>
    <n v="30000"/>
    <x v="0"/>
    <x v="0"/>
    <s v="Clerical"/>
    <x v="0"/>
    <x v="1"/>
    <x v="1"/>
    <x v="0"/>
    <n v="39"/>
    <x v="0"/>
    <s v="Millennials"/>
    <x v="0"/>
  </r>
  <r>
    <n v="20970"/>
    <x v="1"/>
    <x v="1"/>
    <n v="10000"/>
    <x v="4"/>
    <x v="1"/>
    <s v="Manual"/>
    <x v="0"/>
    <x v="1"/>
    <x v="0"/>
    <x v="0"/>
    <n v="52"/>
    <x v="2"/>
    <s v="Middle Age"/>
    <x v="1"/>
  </r>
  <r>
    <n v="26818"/>
    <x v="1"/>
    <x v="1"/>
    <n v="10000"/>
    <x v="1"/>
    <x v="2"/>
    <s v="Manual"/>
    <x v="0"/>
    <x v="1"/>
    <x v="0"/>
    <x v="0"/>
    <n v="39"/>
    <x v="0"/>
    <s v="Millennials"/>
    <x v="1"/>
  </r>
  <r>
    <n v="12993"/>
    <x v="0"/>
    <x v="1"/>
    <n v="60000"/>
    <x v="4"/>
    <x v="0"/>
    <s v="Professional"/>
    <x v="0"/>
    <x v="1"/>
    <x v="1"/>
    <x v="1"/>
    <n v="37"/>
    <x v="0"/>
    <s v="Millennials"/>
    <x v="0"/>
  </r>
  <r>
    <n v="14192"/>
    <x v="0"/>
    <x v="1"/>
    <n v="90000"/>
    <x v="5"/>
    <x v="2"/>
    <s v="Management"/>
    <x v="0"/>
    <x v="4"/>
    <x v="2"/>
    <x v="0"/>
    <n v="56"/>
    <x v="1"/>
    <s v="Old"/>
    <x v="1"/>
  </r>
  <r>
    <n v="19477"/>
    <x v="0"/>
    <x v="1"/>
    <n v="40000"/>
    <x v="3"/>
    <x v="0"/>
    <s v="Professional"/>
    <x v="0"/>
    <x v="0"/>
    <x v="0"/>
    <x v="0"/>
    <n v="40"/>
    <x v="0"/>
    <s v="Millennials"/>
    <x v="1"/>
  </r>
  <r>
    <n v="26796"/>
    <x v="1"/>
    <x v="1"/>
    <n v="40000"/>
    <x v="4"/>
    <x v="0"/>
    <s v="Management"/>
    <x v="0"/>
    <x v="2"/>
    <x v="2"/>
    <x v="1"/>
    <n v="65"/>
    <x v="1"/>
    <s v="Old"/>
    <x v="1"/>
  </r>
  <r>
    <n v="21094"/>
    <x v="1"/>
    <x v="0"/>
    <n v="30000"/>
    <x v="4"/>
    <x v="1"/>
    <s v="Clerical"/>
    <x v="0"/>
    <x v="2"/>
    <x v="0"/>
    <x v="0"/>
    <n v="42"/>
    <x v="0"/>
    <s v="Millennials"/>
    <x v="0"/>
  </r>
  <r>
    <n v="12234"/>
    <x v="0"/>
    <x v="1"/>
    <n v="10000"/>
    <x v="4"/>
    <x v="1"/>
    <s v="Manual"/>
    <x v="0"/>
    <x v="1"/>
    <x v="1"/>
    <x v="0"/>
    <n v="52"/>
    <x v="2"/>
    <s v="Middle Age"/>
    <x v="0"/>
  </r>
  <r>
    <n v="28683"/>
    <x v="1"/>
    <x v="0"/>
    <n v="10000"/>
    <x v="0"/>
    <x v="2"/>
    <s v="Manual"/>
    <x v="1"/>
    <x v="1"/>
    <x v="2"/>
    <x v="0"/>
    <n v="35"/>
    <x v="0"/>
    <s v="Millennials"/>
    <x v="1"/>
  </r>
  <r>
    <n v="17994"/>
    <x v="1"/>
    <x v="1"/>
    <n v="20000"/>
    <x v="4"/>
    <x v="2"/>
    <s v="Manual"/>
    <x v="0"/>
    <x v="2"/>
    <x v="0"/>
    <x v="0"/>
    <n v="42"/>
    <x v="0"/>
    <s v="Millennials"/>
    <x v="0"/>
  </r>
  <r>
    <n v="24273"/>
    <x v="0"/>
    <x v="0"/>
    <n v="20000"/>
    <x v="4"/>
    <x v="3"/>
    <s v="Clerical"/>
    <x v="0"/>
    <x v="2"/>
    <x v="2"/>
    <x v="1"/>
    <n v="55"/>
    <x v="3"/>
    <s v="Late Middle Age"/>
    <x v="1"/>
  </r>
  <r>
    <n v="26547"/>
    <x v="1"/>
    <x v="0"/>
    <n v="30000"/>
    <x v="4"/>
    <x v="1"/>
    <s v="Clerical"/>
    <x v="1"/>
    <x v="2"/>
    <x v="2"/>
    <x v="1"/>
    <n v="60"/>
    <x v="1"/>
    <s v="Old"/>
    <x v="1"/>
  </r>
  <r>
    <n v="22500"/>
    <x v="1"/>
    <x v="1"/>
    <n v="40000"/>
    <x v="3"/>
    <x v="0"/>
    <s v="Professional"/>
    <x v="1"/>
    <x v="0"/>
    <x v="0"/>
    <x v="0"/>
    <n v="40"/>
    <x v="0"/>
    <s v="Millennials"/>
    <x v="1"/>
  </r>
  <r>
    <n v="23993"/>
    <x v="1"/>
    <x v="0"/>
    <n v="10000"/>
    <x v="3"/>
    <x v="1"/>
    <s v="Manual"/>
    <x v="1"/>
    <x v="1"/>
    <x v="0"/>
    <x v="1"/>
    <n v="26"/>
    <x v="0"/>
    <s v="Millennials"/>
    <x v="1"/>
  </r>
  <r>
    <n v="14832"/>
    <x v="0"/>
    <x v="1"/>
    <n v="40000"/>
    <x v="0"/>
    <x v="0"/>
    <s v="Skilled Manual"/>
    <x v="0"/>
    <x v="0"/>
    <x v="0"/>
    <x v="0"/>
    <n v="42"/>
    <x v="0"/>
    <s v="Millennials"/>
    <x v="1"/>
  </r>
  <r>
    <n v="16614"/>
    <x v="0"/>
    <x v="0"/>
    <n v="80000"/>
    <x v="3"/>
    <x v="0"/>
    <s v="Professional"/>
    <x v="0"/>
    <x v="4"/>
    <x v="4"/>
    <x v="1"/>
    <n v="32"/>
    <x v="0"/>
    <s v="Millennials"/>
    <x v="0"/>
  </r>
  <r>
    <n v="20877"/>
    <x v="1"/>
    <x v="1"/>
    <n v="30000"/>
    <x v="0"/>
    <x v="0"/>
    <s v="Clerical"/>
    <x v="0"/>
    <x v="0"/>
    <x v="3"/>
    <x v="0"/>
    <n v="37"/>
    <x v="0"/>
    <s v="Millennials"/>
    <x v="1"/>
  </r>
  <r>
    <n v="20729"/>
    <x v="0"/>
    <x v="0"/>
    <n v="40000"/>
    <x v="4"/>
    <x v="1"/>
    <s v="Clerical"/>
    <x v="1"/>
    <x v="1"/>
    <x v="0"/>
    <x v="0"/>
    <n v="34"/>
    <x v="0"/>
    <s v="Millennials"/>
    <x v="0"/>
  </r>
  <r>
    <n v="22464"/>
    <x v="0"/>
    <x v="1"/>
    <n v="40000"/>
    <x v="3"/>
    <x v="4"/>
    <s v="Clerical"/>
    <x v="0"/>
    <x v="0"/>
    <x v="0"/>
    <x v="0"/>
    <n v="37"/>
    <x v="0"/>
    <s v="Millennials"/>
    <x v="1"/>
  </r>
  <r>
    <n v="19475"/>
    <x v="0"/>
    <x v="0"/>
    <n v="40000"/>
    <x v="3"/>
    <x v="0"/>
    <s v="Professional"/>
    <x v="1"/>
    <x v="0"/>
    <x v="0"/>
    <x v="0"/>
    <n v="40"/>
    <x v="0"/>
    <s v="Millennials"/>
    <x v="1"/>
  </r>
  <r>
    <n v="19675"/>
    <x v="0"/>
    <x v="1"/>
    <n v="20000"/>
    <x v="5"/>
    <x v="2"/>
    <s v="Skilled Manual"/>
    <x v="0"/>
    <x v="2"/>
    <x v="2"/>
    <x v="1"/>
    <n v="60"/>
    <x v="1"/>
    <s v="Old"/>
    <x v="0"/>
  </r>
  <r>
    <n v="12728"/>
    <x v="1"/>
    <x v="1"/>
    <n v="30000"/>
    <x v="3"/>
    <x v="1"/>
    <s v="Clerical"/>
    <x v="1"/>
    <x v="1"/>
    <x v="3"/>
    <x v="0"/>
    <n v="27"/>
    <x v="0"/>
    <s v="Millennials"/>
    <x v="0"/>
  </r>
  <r>
    <n v="26154"/>
    <x v="0"/>
    <x v="1"/>
    <n v="60000"/>
    <x v="0"/>
    <x v="1"/>
    <s v="Skilled Manual"/>
    <x v="0"/>
    <x v="1"/>
    <x v="2"/>
    <x v="1"/>
    <n v="43"/>
    <x v="0"/>
    <s v="Millennials"/>
    <x v="1"/>
  </r>
  <r>
    <n v="29117"/>
    <x v="1"/>
    <x v="1"/>
    <n v="100000"/>
    <x v="0"/>
    <x v="0"/>
    <s v="Management"/>
    <x v="1"/>
    <x v="4"/>
    <x v="0"/>
    <x v="1"/>
    <n v="48"/>
    <x v="2"/>
    <s v="Middle Age"/>
    <x v="0"/>
  </r>
  <r>
    <n v="17845"/>
    <x v="1"/>
    <x v="0"/>
    <n v="20000"/>
    <x v="3"/>
    <x v="3"/>
    <s v="Manual"/>
    <x v="1"/>
    <x v="2"/>
    <x v="3"/>
    <x v="0"/>
    <n v="32"/>
    <x v="0"/>
    <s v="Millennials"/>
    <x v="0"/>
  </r>
  <r>
    <n v="25058"/>
    <x v="0"/>
    <x v="1"/>
    <n v="100000"/>
    <x v="0"/>
    <x v="0"/>
    <s v="Management"/>
    <x v="0"/>
    <x v="4"/>
    <x v="1"/>
    <x v="1"/>
    <n v="47"/>
    <x v="2"/>
    <s v="Middle Age"/>
    <x v="0"/>
  </r>
  <r>
    <n v="23426"/>
    <x v="1"/>
    <x v="1"/>
    <n v="80000"/>
    <x v="2"/>
    <x v="4"/>
    <s v="Management"/>
    <x v="0"/>
    <x v="4"/>
    <x v="0"/>
    <x v="1"/>
    <n v="40"/>
    <x v="0"/>
    <s v="Millennials"/>
    <x v="0"/>
  </r>
  <r>
    <n v="14798"/>
    <x v="1"/>
    <x v="0"/>
    <n v="10000"/>
    <x v="5"/>
    <x v="3"/>
    <s v="Manual"/>
    <x v="0"/>
    <x v="2"/>
    <x v="0"/>
    <x v="0"/>
    <n v="41"/>
    <x v="0"/>
    <s v="Millennials"/>
    <x v="1"/>
  </r>
  <r>
    <n v="12664"/>
    <x v="0"/>
    <x v="0"/>
    <n v="130000"/>
    <x v="2"/>
    <x v="1"/>
    <s v="Professional"/>
    <x v="0"/>
    <x v="3"/>
    <x v="0"/>
    <x v="0"/>
    <n v="59"/>
    <x v="1"/>
    <s v="Old"/>
    <x v="0"/>
  </r>
  <r>
    <n v="23979"/>
    <x v="1"/>
    <x v="1"/>
    <n v="10000"/>
    <x v="4"/>
    <x v="1"/>
    <s v="Manual"/>
    <x v="1"/>
    <x v="0"/>
    <x v="0"/>
    <x v="0"/>
    <n v="50"/>
    <x v="2"/>
    <s v="Middle Age"/>
    <x v="0"/>
  </r>
  <r>
    <n v="25605"/>
    <x v="1"/>
    <x v="0"/>
    <n v="20000"/>
    <x v="4"/>
    <x v="1"/>
    <s v="Manual"/>
    <x v="1"/>
    <x v="1"/>
    <x v="0"/>
    <x v="0"/>
    <n v="54"/>
    <x v="2"/>
    <s v="Middle Age"/>
    <x v="1"/>
  </r>
  <r>
    <n v="20797"/>
    <x v="0"/>
    <x v="0"/>
    <n v="10000"/>
    <x v="0"/>
    <x v="0"/>
    <s v="Manual"/>
    <x v="0"/>
    <x v="0"/>
    <x v="0"/>
    <x v="0"/>
    <n v="48"/>
    <x v="2"/>
    <s v="Middle Age"/>
    <x v="0"/>
  </r>
  <r>
    <n v="21980"/>
    <x v="1"/>
    <x v="0"/>
    <n v="60000"/>
    <x v="0"/>
    <x v="0"/>
    <s v="Professional"/>
    <x v="0"/>
    <x v="1"/>
    <x v="2"/>
    <x v="1"/>
    <n v="44"/>
    <x v="0"/>
    <s v="Millennials"/>
    <x v="1"/>
  </r>
  <r>
    <n v="25460"/>
    <x v="0"/>
    <x v="0"/>
    <n v="20000"/>
    <x v="4"/>
    <x v="2"/>
    <s v="Manual"/>
    <x v="0"/>
    <x v="0"/>
    <x v="0"/>
    <x v="0"/>
    <n v="40"/>
    <x v="0"/>
    <s v="Millennials"/>
    <x v="1"/>
  </r>
  <r>
    <n v="29181"/>
    <x v="1"/>
    <x v="0"/>
    <n v="60000"/>
    <x v="4"/>
    <x v="0"/>
    <s v="Professional"/>
    <x v="1"/>
    <x v="1"/>
    <x v="0"/>
    <x v="1"/>
    <n v="38"/>
    <x v="0"/>
    <s v="Millennials"/>
    <x v="1"/>
  </r>
  <r>
    <n v="24279"/>
    <x v="1"/>
    <x v="1"/>
    <n v="40000"/>
    <x v="4"/>
    <x v="1"/>
    <s v="Skilled Manual"/>
    <x v="1"/>
    <x v="2"/>
    <x v="3"/>
    <x v="1"/>
    <n v="52"/>
    <x v="2"/>
    <s v="Middle Age"/>
    <x v="0"/>
  </r>
  <r>
    <n v="22402"/>
    <x v="0"/>
    <x v="1"/>
    <n v="10000"/>
    <x v="3"/>
    <x v="1"/>
    <s v="Manual"/>
    <x v="0"/>
    <x v="1"/>
    <x v="1"/>
    <x v="1"/>
    <n v="25"/>
    <x v="0"/>
    <s v="Millennials"/>
    <x v="1"/>
  </r>
  <r>
    <n v="15465"/>
    <x v="0"/>
    <x v="0"/>
    <n v="10000"/>
    <x v="3"/>
    <x v="1"/>
    <s v="Manual"/>
    <x v="1"/>
    <x v="1"/>
    <x v="0"/>
    <x v="1"/>
    <n v="25"/>
    <x v="0"/>
    <s v="Millennials"/>
    <x v="0"/>
  </r>
  <r>
    <n v="26757"/>
    <x v="1"/>
    <x v="1"/>
    <n v="90000"/>
    <x v="0"/>
    <x v="0"/>
    <s v="Professional"/>
    <x v="0"/>
    <x v="1"/>
    <x v="1"/>
    <x v="1"/>
    <n v="47"/>
    <x v="2"/>
    <s v="Middle Age"/>
    <x v="1"/>
  </r>
  <r>
    <n v="14233"/>
    <x v="1"/>
    <x v="1"/>
    <n v="100000"/>
    <x v="3"/>
    <x v="2"/>
    <s v="Management"/>
    <x v="0"/>
    <x v="4"/>
    <x v="4"/>
    <x v="1"/>
    <n v="35"/>
    <x v="0"/>
    <s v="Millennials"/>
    <x v="0"/>
  </r>
  <r>
    <n v="14058"/>
    <x v="1"/>
    <x v="1"/>
    <n v="70000"/>
    <x v="3"/>
    <x v="0"/>
    <s v="Professional"/>
    <x v="1"/>
    <x v="1"/>
    <x v="2"/>
    <x v="1"/>
    <n v="41"/>
    <x v="0"/>
    <s v="Millennials"/>
    <x v="1"/>
  </r>
  <r>
    <n v="12273"/>
    <x v="0"/>
    <x v="1"/>
    <n v="30000"/>
    <x v="0"/>
    <x v="0"/>
    <s v="Clerical"/>
    <x v="0"/>
    <x v="0"/>
    <x v="0"/>
    <x v="0"/>
    <n v="47"/>
    <x v="2"/>
    <s v="Middle Age"/>
    <x v="0"/>
  </r>
  <r>
    <n v="17203"/>
    <x v="0"/>
    <x v="0"/>
    <n v="130000"/>
    <x v="5"/>
    <x v="1"/>
    <s v="Professional"/>
    <x v="0"/>
    <x v="3"/>
    <x v="2"/>
    <x v="0"/>
    <n v="61"/>
    <x v="1"/>
    <s v="Old"/>
    <x v="1"/>
  </r>
  <r>
    <n v="18144"/>
    <x v="0"/>
    <x v="0"/>
    <n v="80000"/>
    <x v="2"/>
    <x v="0"/>
    <s v="Management"/>
    <x v="0"/>
    <x v="2"/>
    <x v="1"/>
    <x v="0"/>
    <n v="61"/>
    <x v="1"/>
    <s v="Old"/>
    <x v="0"/>
  </r>
  <r>
    <n v="23963"/>
    <x v="0"/>
    <x v="1"/>
    <n v="10000"/>
    <x v="3"/>
    <x v="3"/>
    <s v="Manual"/>
    <x v="1"/>
    <x v="2"/>
    <x v="0"/>
    <x v="0"/>
    <n v="33"/>
    <x v="0"/>
    <s v="Millennials"/>
    <x v="0"/>
  </r>
  <r>
    <n v="17907"/>
    <x v="0"/>
    <x v="0"/>
    <n v="10000"/>
    <x v="3"/>
    <x v="1"/>
    <s v="Manual"/>
    <x v="0"/>
    <x v="1"/>
    <x v="1"/>
    <x v="1"/>
    <n v="27"/>
    <x v="0"/>
    <s v="Millennials"/>
    <x v="0"/>
  </r>
  <r>
    <n v="19442"/>
    <x v="1"/>
    <x v="1"/>
    <n v="50000"/>
    <x v="3"/>
    <x v="4"/>
    <s v="Skilled Manual"/>
    <x v="0"/>
    <x v="0"/>
    <x v="0"/>
    <x v="0"/>
    <n v="37"/>
    <x v="0"/>
    <s v="Millennials"/>
    <x v="1"/>
  </r>
  <r>
    <n v="17504"/>
    <x v="1"/>
    <x v="0"/>
    <n v="80000"/>
    <x v="4"/>
    <x v="1"/>
    <s v="Skilled Manual"/>
    <x v="0"/>
    <x v="2"/>
    <x v="2"/>
    <x v="1"/>
    <n v="52"/>
    <x v="2"/>
    <s v="Middle Age"/>
    <x v="1"/>
  </r>
  <r>
    <n v="12253"/>
    <x v="1"/>
    <x v="0"/>
    <n v="20000"/>
    <x v="3"/>
    <x v="1"/>
    <s v="Manual"/>
    <x v="0"/>
    <x v="0"/>
    <x v="0"/>
    <x v="1"/>
    <n v="29"/>
    <x v="0"/>
    <s v="Millennials"/>
    <x v="1"/>
  </r>
  <r>
    <n v="27304"/>
    <x v="1"/>
    <x v="0"/>
    <n v="110000"/>
    <x v="4"/>
    <x v="1"/>
    <s v="Professional"/>
    <x v="1"/>
    <x v="4"/>
    <x v="2"/>
    <x v="0"/>
    <n v="48"/>
    <x v="2"/>
    <s v="Middle Age"/>
    <x v="0"/>
  </r>
  <r>
    <n v="14191"/>
    <x v="0"/>
    <x v="1"/>
    <n v="160000"/>
    <x v="5"/>
    <x v="1"/>
    <s v="Professional"/>
    <x v="1"/>
    <x v="2"/>
    <x v="4"/>
    <x v="0"/>
    <n v="55"/>
    <x v="3"/>
    <s v="Late Middle Age"/>
    <x v="1"/>
  </r>
  <r>
    <n v="12212"/>
    <x v="0"/>
    <x v="0"/>
    <n v="10000"/>
    <x v="3"/>
    <x v="4"/>
    <s v="Manual"/>
    <x v="0"/>
    <x v="0"/>
    <x v="0"/>
    <x v="0"/>
    <n v="37"/>
    <x v="0"/>
    <s v="Millennials"/>
    <x v="1"/>
  </r>
  <r>
    <n v="25529"/>
    <x v="1"/>
    <x v="1"/>
    <n v="10000"/>
    <x v="0"/>
    <x v="4"/>
    <s v="Manual"/>
    <x v="0"/>
    <x v="0"/>
    <x v="0"/>
    <x v="0"/>
    <n v="44"/>
    <x v="0"/>
    <s v="Millennials"/>
    <x v="0"/>
  </r>
  <r>
    <n v="22170"/>
    <x v="0"/>
    <x v="0"/>
    <n v="30000"/>
    <x v="1"/>
    <x v="1"/>
    <s v="Clerical"/>
    <x v="1"/>
    <x v="2"/>
    <x v="3"/>
    <x v="1"/>
    <n v="55"/>
    <x v="3"/>
    <s v="Late Middle Age"/>
    <x v="1"/>
  </r>
  <r>
    <n v="19445"/>
    <x v="0"/>
    <x v="0"/>
    <n v="10000"/>
    <x v="4"/>
    <x v="2"/>
    <s v="Manual"/>
    <x v="1"/>
    <x v="1"/>
    <x v="0"/>
    <x v="0"/>
    <n v="38"/>
    <x v="0"/>
    <s v="Millennials"/>
    <x v="0"/>
  </r>
  <r>
    <n v="15265"/>
    <x v="1"/>
    <x v="1"/>
    <n v="40000"/>
    <x v="4"/>
    <x v="0"/>
    <s v="Management"/>
    <x v="0"/>
    <x v="2"/>
    <x v="2"/>
    <x v="1"/>
    <n v="66"/>
    <x v="1"/>
    <s v="Old"/>
    <x v="1"/>
  </r>
  <r>
    <n v="28918"/>
    <x v="0"/>
    <x v="0"/>
    <n v="130000"/>
    <x v="5"/>
    <x v="2"/>
    <s v="Management"/>
    <x v="1"/>
    <x v="3"/>
    <x v="4"/>
    <x v="0"/>
    <n v="58"/>
    <x v="1"/>
    <s v="Old"/>
    <x v="0"/>
  </r>
  <r>
    <n v="15799"/>
    <x v="0"/>
    <x v="0"/>
    <n v="90000"/>
    <x v="0"/>
    <x v="0"/>
    <s v="Professional"/>
    <x v="0"/>
    <x v="1"/>
    <x v="1"/>
    <x v="1"/>
    <n v="47"/>
    <x v="2"/>
    <s v="Middle Age"/>
    <x v="1"/>
  </r>
  <r>
    <n v="11047"/>
    <x v="0"/>
    <x v="0"/>
    <n v="30000"/>
    <x v="1"/>
    <x v="2"/>
    <s v="Skilled Manual"/>
    <x v="1"/>
    <x v="2"/>
    <x v="3"/>
    <x v="1"/>
    <n v="56"/>
    <x v="1"/>
    <s v="Old"/>
    <x v="1"/>
  </r>
  <r>
    <n v="18151"/>
    <x v="1"/>
    <x v="1"/>
    <n v="80000"/>
    <x v="2"/>
    <x v="1"/>
    <s v="Professional"/>
    <x v="1"/>
    <x v="2"/>
    <x v="4"/>
    <x v="0"/>
    <n v="59"/>
    <x v="1"/>
    <s v="Old"/>
    <x v="0"/>
  </r>
  <r>
    <n v="20606"/>
    <x v="0"/>
    <x v="0"/>
    <n v="70000"/>
    <x v="3"/>
    <x v="0"/>
    <s v="Professional"/>
    <x v="0"/>
    <x v="3"/>
    <x v="4"/>
    <x v="1"/>
    <n v="32"/>
    <x v="0"/>
    <s v="Millennials"/>
    <x v="1"/>
  </r>
  <r>
    <n v="19482"/>
    <x v="0"/>
    <x v="1"/>
    <n v="30000"/>
    <x v="0"/>
    <x v="1"/>
    <s v="Clerical"/>
    <x v="0"/>
    <x v="1"/>
    <x v="0"/>
    <x v="0"/>
    <n v="44"/>
    <x v="0"/>
    <s v="Millennials"/>
    <x v="1"/>
  </r>
  <r>
    <n v="16489"/>
    <x v="0"/>
    <x v="1"/>
    <n v="30000"/>
    <x v="1"/>
    <x v="2"/>
    <s v="Skilled Manual"/>
    <x v="0"/>
    <x v="2"/>
    <x v="2"/>
    <x v="1"/>
    <n v="55"/>
    <x v="3"/>
    <s v="Late Middle Age"/>
    <x v="0"/>
  </r>
  <r>
    <n v="26944"/>
    <x v="1"/>
    <x v="1"/>
    <n v="90000"/>
    <x v="4"/>
    <x v="2"/>
    <s v="Manual"/>
    <x v="0"/>
    <x v="0"/>
    <x v="0"/>
    <x v="0"/>
    <n v="36"/>
    <x v="0"/>
    <s v="Millennials"/>
    <x v="1"/>
  </r>
  <r>
    <n v="15682"/>
    <x v="1"/>
    <x v="0"/>
    <n v="80000"/>
    <x v="2"/>
    <x v="0"/>
    <s v="Management"/>
    <x v="0"/>
    <x v="2"/>
    <x v="4"/>
    <x v="0"/>
    <n v="62"/>
    <x v="1"/>
    <s v="Old"/>
    <x v="0"/>
  </r>
  <r>
    <n v="26032"/>
    <x v="0"/>
    <x v="0"/>
    <n v="70000"/>
    <x v="2"/>
    <x v="0"/>
    <s v="Professional"/>
    <x v="0"/>
    <x v="3"/>
    <x v="4"/>
    <x v="1"/>
    <n v="41"/>
    <x v="0"/>
    <s v="Millennials"/>
    <x v="0"/>
  </r>
  <r>
    <n v="17843"/>
    <x v="1"/>
    <x v="0"/>
    <n v="10000"/>
    <x v="3"/>
    <x v="3"/>
    <s v="Manual"/>
    <x v="1"/>
    <x v="2"/>
    <x v="0"/>
    <x v="0"/>
    <n v="32"/>
    <x v="0"/>
    <s v="Millennials"/>
    <x v="0"/>
  </r>
  <r>
    <n v="25559"/>
    <x v="1"/>
    <x v="1"/>
    <n v="20000"/>
    <x v="3"/>
    <x v="0"/>
    <s v="Clerical"/>
    <x v="0"/>
    <x v="0"/>
    <x v="0"/>
    <x v="1"/>
    <n v="25"/>
    <x v="0"/>
    <s v="Millennials"/>
    <x v="1"/>
  </r>
  <r>
    <n v="16209"/>
    <x v="1"/>
    <x v="0"/>
    <n v="50000"/>
    <x v="3"/>
    <x v="4"/>
    <s v="Skilled Manual"/>
    <x v="0"/>
    <x v="0"/>
    <x v="3"/>
    <x v="0"/>
    <n v="36"/>
    <x v="0"/>
    <s v="Millennials"/>
    <x v="0"/>
  </r>
  <r>
    <n v="11147"/>
    <x v="0"/>
    <x v="1"/>
    <n v="60000"/>
    <x v="4"/>
    <x v="4"/>
    <s v="Management"/>
    <x v="0"/>
    <x v="1"/>
    <x v="0"/>
    <x v="1"/>
    <n v="67"/>
    <x v="1"/>
    <s v="Old"/>
    <x v="1"/>
  </r>
  <r>
    <n v="15214"/>
    <x v="1"/>
    <x v="0"/>
    <n v="100000"/>
    <x v="3"/>
    <x v="4"/>
    <s v="Management"/>
    <x v="1"/>
    <x v="1"/>
    <x v="3"/>
    <x v="1"/>
    <n v="39"/>
    <x v="0"/>
    <s v="Millennials"/>
    <x v="1"/>
  </r>
  <r>
    <n v="11453"/>
    <x v="1"/>
    <x v="1"/>
    <n v="80000"/>
    <x v="3"/>
    <x v="0"/>
    <s v="Professional"/>
    <x v="1"/>
    <x v="4"/>
    <x v="4"/>
    <x v="1"/>
    <n v="33"/>
    <x v="0"/>
    <s v="Millennials"/>
    <x v="1"/>
  </r>
  <r>
    <n v="24584"/>
    <x v="1"/>
    <x v="1"/>
    <n v="60000"/>
    <x v="3"/>
    <x v="0"/>
    <s v="Professional"/>
    <x v="1"/>
    <x v="4"/>
    <x v="1"/>
    <x v="1"/>
    <n v="31"/>
    <x v="0"/>
    <s v="Millennials"/>
    <x v="0"/>
  </r>
  <r>
    <n v="12585"/>
    <x v="0"/>
    <x v="1"/>
    <n v="10000"/>
    <x v="0"/>
    <x v="2"/>
    <s v="Manual"/>
    <x v="0"/>
    <x v="0"/>
    <x v="1"/>
    <x v="1"/>
    <n v="27"/>
    <x v="0"/>
    <s v="Millennials"/>
    <x v="1"/>
  </r>
  <r>
    <n v="18626"/>
    <x v="1"/>
    <x v="1"/>
    <n v="40000"/>
    <x v="4"/>
    <x v="1"/>
    <s v="Clerical"/>
    <x v="0"/>
    <x v="0"/>
    <x v="3"/>
    <x v="0"/>
    <n v="33"/>
    <x v="0"/>
    <s v="Millennials"/>
    <x v="1"/>
  </r>
  <r>
    <n v="29298"/>
    <x v="1"/>
    <x v="0"/>
    <n v="60000"/>
    <x v="0"/>
    <x v="1"/>
    <s v="Skilled Manual"/>
    <x v="0"/>
    <x v="1"/>
    <x v="2"/>
    <x v="1"/>
    <n v="46"/>
    <x v="2"/>
    <s v="Middle Age"/>
    <x v="1"/>
  </r>
  <r>
    <n v="24842"/>
    <x v="1"/>
    <x v="0"/>
    <n v="90000"/>
    <x v="1"/>
    <x v="2"/>
    <s v="Professional"/>
    <x v="1"/>
    <x v="1"/>
    <x v="1"/>
    <x v="0"/>
    <n v="51"/>
    <x v="2"/>
    <s v="Middle Age"/>
    <x v="0"/>
  </r>
  <r>
    <n v="15657"/>
    <x v="0"/>
    <x v="1"/>
    <n v="30000"/>
    <x v="1"/>
    <x v="4"/>
    <s v="Clerical"/>
    <x v="0"/>
    <x v="0"/>
    <x v="0"/>
    <x v="0"/>
    <n v="46"/>
    <x v="2"/>
    <s v="Middle Age"/>
    <x v="1"/>
  </r>
  <r>
    <n v="11415"/>
    <x v="1"/>
    <x v="1"/>
    <n v="90000"/>
    <x v="2"/>
    <x v="1"/>
    <s v="Professional"/>
    <x v="1"/>
    <x v="2"/>
    <x v="4"/>
    <x v="0"/>
    <n v="62"/>
    <x v="1"/>
    <s v="Old"/>
    <x v="0"/>
  </r>
  <r>
    <n v="28729"/>
    <x v="1"/>
    <x v="0"/>
    <n v="20000"/>
    <x v="3"/>
    <x v="3"/>
    <s v="Manual"/>
    <x v="0"/>
    <x v="2"/>
    <x v="3"/>
    <x v="0"/>
    <n v="26"/>
    <x v="0"/>
    <s v="Millennials"/>
    <x v="1"/>
  </r>
  <r>
    <n v="22633"/>
    <x v="1"/>
    <x v="0"/>
    <n v="40000"/>
    <x v="3"/>
    <x v="4"/>
    <s v="Clerical"/>
    <x v="0"/>
    <x v="0"/>
    <x v="0"/>
    <x v="0"/>
    <n v="37"/>
    <x v="0"/>
    <s v="Millennials"/>
    <x v="1"/>
  </r>
  <r>
    <n v="25649"/>
    <x v="1"/>
    <x v="0"/>
    <n v="30000"/>
    <x v="1"/>
    <x v="1"/>
    <s v="Clerical"/>
    <x v="0"/>
    <x v="0"/>
    <x v="0"/>
    <x v="0"/>
    <n v="42"/>
    <x v="0"/>
    <s v="Millennials"/>
    <x v="1"/>
  </r>
  <r>
    <n v="14669"/>
    <x v="0"/>
    <x v="0"/>
    <n v="80000"/>
    <x v="5"/>
    <x v="4"/>
    <s v="Management"/>
    <x v="0"/>
    <x v="1"/>
    <x v="0"/>
    <x v="1"/>
    <n v="36"/>
    <x v="0"/>
    <s v="Millennials"/>
    <x v="0"/>
  </r>
  <r>
    <n v="19299"/>
    <x v="0"/>
    <x v="0"/>
    <n v="50000"/>
    <x v="3"/>
    <x v="4"/>
    <s v="Skilled Manual"/>
    <x v="0"/>
    <x v="0"/>
    <x v="0"/>
    <x v="0"/>
    <n v="36"/>
    <x v="0"/>
    <s v="Millennials"/>
    <x v="1"/>
  </r>
  <r>
    <n v="20946"/>
    <x v="1"/>
    <x v="0"/>
    <n v="30000"/>
    <x v="3"/>
    <x v="1"/>
    <s v="Clerical"/>
    <x v="1"/>
    <x v="1"/>
    <x v="1"/>
    <x v="0"/>
    <n v="30"/>
    <x v="0"/>
    <s v="Millennials"/>
    <x v="0"/>
  </r>
  <r>
    <n v="11451"/>
    <x v="1"/>
    <x v="1"/>
    <n v="70000"/>
    <x v="3"/>
    <x v="0"/>
    <s v="Professional"/>
    <x v="1"/>
    <x v="3"/>
    <x v="4"/>
    <x v="1"/>
    <n v="31"/>
    <x v="0"/>
    <s v="Millennials"/>
    <x v="1"/>
  </r>
  <r>
    <n v="25553"/>
    <x v="0"/>
    <x v="1"/>
    <n v="30000"/>
    <x v="0"/>
    <x v="0"/>
    <s v="Clerical"/>
    <x v="0"/>
    <x v="0"/>
    <x v="0"/>
    <x v="0"/>
    <n v="65"/>
    <x v="1"/>
    <s v="Old"/>
    <x v="1"/>
  </r>
  <r>
    <n v="27951"/>
    <x v="1"/>
    <x v="1"/>
    <n v="80000"/>
    <x v="5"/>
    <x v="1"/>
    <s v="Professional"/>
    <x v="1"/>
    <x v="2"/>
    <x v="1"/>
    <x v="0"/>
    <n v="54"/>
    <x v="2"/>
    <s v="Middle Age"/>
    <x v="1"/>
  </r>
  <r>
    <n v="25026"/>
    <x v="0"/>
    <x v="1"/>
    <n v="20000"/>
    <x v="4"/>
    <x v="3"/>
    <s v="Clerical"/>
    <x v="0"/>
    <x v="4"/>
    <x v="2"/>
    <x v="1"/>
    <n v="54"/>
    <x v="2"/>
    <s v="Middle Age"/>
    <x v="0"/>
  </r>
  <r>
    <n v="13673"/>
    <x v="1"/>
    <x v="0"/>
    <n v="20000"/>
    <x v="3"/>
    <x v="3"/>
    <s v="Manual"/>
    <x v="1"/>
    <x v="2"/>
    <x v="0"/>
    <x v="0"/>
    <n v="25"/>
    <x v="0"/>
    <s v="Millennials"/>
    <x v="0"/>
  </r>
  <r>
    <n v="16043"/>
    <x v="1"/>
    <x v="1"/>
    <n v="10000"/>
    <x v="0"/>
    <x v="0"/>
    <s v="Manual"/>
    <x v="0"/>
    <x v="0"/>
    <x v="0"/>
    <x v="0"/>
    <n v="48"/>
    <x v="2"/>
    <s v="Middle Age"/>
    <x v="0"/>
  </r>
  <r>
    <n v="22399"/>
    <x v="1"/>
    <x v="1"/>
    <n v="10000"/>
    <x v="3"/>
    <x v="1"/>
    <s v="Manual"/>
    <x v="0"/>
    <x v="1"/>
    <x v="3"/>
    <x v="1"/>
    <n v="26"/>
    <x v="0"/>
    <s v="Millennials"/>
    <x v="1"/>
  </r>
  <r>
    <n v="27696"/>
    <x v="0"/>
    <x v="1"/>
    <n v="60000"/>
    <x v="0"/>
    <x v="0"/>
    <s v="Professional"/>
    <x v="0"/>
    <x v="1"/>
    <x v="2"/>
    <x v="1"/>
    <n v="43"/>
    <x v="0"/>
    <s v="Millennials"/>
    <x v="1"/>
  </r>
  <r>
    <n v="25313"/>
    <x v="1"/>
    <x v="1"/>
    <n v="10000"/>
    <x v="3"/>
    <x v="3"/>
    <s v="Manual"/>
    <x v="1"/>
    <x v="2"/>
    <x v="3"/>
    <x v="0"/>
    <n v="35"/>
    <x v="0"/>
    <s v="Millennials"/>
    <x v="0"/>
  </r>
  <r>
    <n v="13813"/>
    <x v="0"/>
    <x v="0"/>
    <n v="30000"/>
    <x v="1"/>
    <x v="1"/>
    <s v="Clerical"/>
    <x v="1"/>
    <x v="0"/>
    <x v="0"/>
    <x v="0"/>
    <n v="42"/>
    <x v="0"/>
    <s v="Millennials"/>
    <x v="0"/>
  </r>
  <r>
    <n v="18711"/>
    <x v="1"/>
    <x v="0"/>
    <n v="70000"/>
    <x v="2"/>
    <x v="0"/>
    <s v="Professional"/>
    <x v="0"/>
    <x v="3"/>
    <x v="4"/>
    <x v="1"/>
    <n v="39"/>
    <x v="0"/>
    <s v="Millennials"/>
    <x v="0"/>
  </r>
  <r>
    <n v="19650"/>
    <x v="0"/>
    <x v="0"/>
    <n v="30000"/>
    <x v="4"/>
    <x v="1"/>
    <s v="Clerical"/>
    <x v="1"/>
    <x v="2"/>
    <x v="0"/>
    <x v="1"/>
    <n v="67"/>
    <x v="1"/>
    <s v="Old"/>
    <x v="0"/>
  </r>
  <r>
    <n v="14135"/>
    <x v="0"/>
    <x v="1"/>
    <n v="20000"/>
    <x v="0"/>
    <x v="1"/>
    <s v="Manual"/>
    <x v="0"/>
    <x v="0"/>
    <x v="3"/>
    <x v="0"/>
    <n v="35"/>
    <x v="0"/>
    <s v="Millennials"/>
    <x v="0"/>
  </r>
  <r>
    <n v="12833"/>
    <x v="1"/>
    <x v="0"/>
    <n v="20000"/>
    <x v="1"/>
    <x v="2"/>
    <s v="Manual"/>
    <x v="0"/>
    <x v="1"/>
    <x v="0"/>
    <x v="0"/>
    <n v="42"/>
    <x v="0"/>
    <s v="Millennials"/>
    <x v="1"/>
  </r>
  <r>
    <n v="26849"/>
    <x v="0"/>
    <x v="1"/>
    <n v="10000"/>
    <x v="1"/>
    <x v="3"/>
    <s v="Manual"/>
    <x v="0"/>
    <x v="2"/>
    <x v="0"/>
    <x v="0"/>
    <n v="43"/>
    <x v="0"/>
    <s v="Millennials"/>
    <x v="0"/>
  </r>
  <r>
    <n v="20962"/>
    <x v="0"/>
    <x v="0"/>
    <n v="20000"/>
    <x v="0"/>
    <x v="4"/>
    <s v="Clerical"/>
    <x v="0"/>
    <x v="0"/>
    <x v="0"/>
    <x v="0"/>
    <n v="45"/>
    <x v="2"/>
    <s v="Middle Age"/>
    <x v="0"/>
  </r>
  <r>
    <n v="28915"/>
    <x v="1"/>
    <x v="1"/>
    <n v="80000"/>
    <x v="2"/>
    <x v="2"/>
    <s v="Management"/>
    <x v="0"/>
    <x v="4"/>
    <x v="4"/>
    <x v="0"/>
    <n v="57"/>
    <x v="1"/>
    <s v="Old"/>
    <x v="0"/>
  </r>
  <r>
    <n v="22830"/>
    <x v="0"/>
    <x v="1"/>
    <n v="120000"/>
    <x v="5"/>
    <x v="1"/>
    <s v="Management"/>
    <x v="0"/>
    <x v="4"/>
    <x v="4"/>
    <x v="0"/>
    <n v="56"/>
    <x v="1"/>
    <s v="Old"/>
    <x v="0"/>
  </r>
  <r>
    <n v="14777"/>
    <x v="0"/>
    <x v="0"/>
    <n v="40000"/>
    <x v="3"/>
    <x v="0"/>
    <s v="Clerical"/>
    <x v="0"/>
    <x v="0"/>
    <x v="0"/>
    <x v="0"/>
    <n v="38"/>
    <x v="0"/>
    <s v="Millennials"/>
    <x v="1"/>
  </r>
  <r>
    <n v="12591"/>
    <x v="0"/>
    <x v="0"/>
    <n v="30000"/>
    <x v="5"/>
    <x v="4"/>
    <s v="Clerical"/>
    <x v="0"/>
    <x v="0"/>
    <x v="0"/>
    <x v="0"/>
    <n v="45"/>
    <x v="2"/>
    <s v="Middle Age"/>
    <x v="0"/>
  </r>
  <r>
    <n v="24174"/>
    <x v="0"/>
    <x v="1"/>
    <n v="20000"/>
    <x v="3"/>
    <x v="0"/>
    <s v="Clerical"/>
    <x v="0"/>
    <x v="0"/>
    <x v="0"/>
    <x v="1"/>
    <n v="27"/>
    <x v="0"/>
    <s v="Millennials"/>
    <x v="1"/>
  </r>
  <r>
    <n v="24611"/>
    <x v="1"/>
    <x v="1"/>
    <n v="90000"/>
    <x v="3"/>
    <x v="0"/>
    <s v="Professional"/>
    <x v="1"/>
    <x v="3"/>
    <x v="4"/>
    <x v="1"/>
    <n v="35"/>
    <x v="0"/>
    <s v="Millennials"/>
    <x v="1"/>
  </r>
  <r>
    <n v="11340"/>
    <x v="0"/>
    <x v="0"/>
    <n v="10000"/>
    <x v="0"/>
    <x v="4"/>
    <s v="Clerical"/>
    <x v="0"/>
    <x v="0"/>
    <x v="0"/>
    <x v="0"/>
    <n v="70"/>
    <x v="1"/>
    <s v="Old"/>
    <x v="1"/>
  </r>
  <r>
    <n v="25693"/>
    <x v="1"/>
    <x v="0"/>
    <n v="30000"/>
    <x v="2"/>
    <x v="4"/>
    <s v="Clerical"/>
    <x v="0"/>
    <x v="0"/>
    <x v="0"/>
    <x v="0"/>
    <n v="44"/>
    <x v="0"/>
    <s v="Millennials"/>
    <x v="1"/>
  </r>
  <r>
    <n v="25555"/>
    <x v="0"/>
    <x v="0"/>
    <n v="10000"/>
    <x v="3"/>
    <x v="1"/>
    <s v="Manual"/>
    <x v="1"/>
    <x v="1"/>
    <x v="0"/>
    <x v="1"/>
    <n v="26"/>
    <x v="0"/>
    <s v="Millennials"/>
    <x v="1"/>
  </r>
  <r>
    <n v="22006"/>
    <x v="0"/>
    <x v="1"/>
    <n v="70000"/>
    <x v="2"/>
    <x v="1"/>
    <s v="Skilled Manual"/>
    <x v="0"/>
    <x v="4"/>
    <x v="2"/>
    <x v="1"/>
    <n v="46"/>
    <x v="2"/>
    <s v="Middle Age"/>
    <x v="0"/>
  </r>
  <r>
    <n v="20060"/>
    <x v="1"/>
    <x v="0"/>
    <n v="30000"/>
    <x v="3"/>
    <x v="2"/>
    <s v="Manual"/>
    <x v="1"/>
    <x v="1"/>
    <x v="1"/>
    <x v="0"/>
    <n v="34"/>
    <x v="0"/>
    <s v="Millennials"/>
    <x v="1"/>
  </r>
  <r>
    <n v="17702"/>
    <x v="0"/>
    <x v="1"/>
    <n v="10000"/>
    <x v="0"/>
    <x v="4"/>
    <s v="Manual"/>
    <x v="0"/>
    <x v="0"/>
    <x v="0"/>
    <x v="0"/>
    <n v="37"/>
    <x v="0"/>
    <s v="Millennials"/>
    <x v="0"/>
  </r>
  <r>
    <n v="12503"/>
    <x v="1"/>
    <x v="0"/>
    <n v="30000"/>
    <x v="1"/>
    <x v="1"/>
    <s v="Clerical"/>
    <x v="0"/>
    <x v="2"/>
    <x v="0"/>
    <x v="0"/>
    <n v="27"/>
    <x v="0"/>
    <s v="Millennials"/>
    <x v="0"/>
  </r>
  <r>
    <n v="23908"/>
    <x v="1"/>
    <x v="1"/>
    <n v="30000"/>
    <x v="0"/>
    <x v="0"/>
    <s v="Clerical"/>
    <x v="1"/>
    <x v="1"/>
    <x v="0"/>
    <x v="0"/>
    <n v="39"/>
    <x v="0"/>
    <s v="Millennials"/>
    <x v="1"/>
  </r>
  <r>
    <n v="22527"/>
    <x v="1"/>
    <x v="0"/>
    <n v="20000"/>
    <x v="3"/>
    <x v="2"/>
    <s v="Manual"/>
    <x v="1"/>
    <x v="1"/>
    <x v="1"/>
    <x v="0"/>
    <n v="29"/>
    <x v="0"/>
    <s v="Millennials"/>
    <x v="0"/>
  </r>
  <r>
    <n v="19057"/>
    <x v="0"/>
    <x v="0"/>
    <n v="120000"/>
    <x v="1"/>
    <x v="0"/>
    <s v="Management"/>
    <x v="1"/>
    <x v="2"/>
    <x v="4"/>
    <x v="0"/>
    <n v="52"/>
    <x v="2"/>
    <s v="Middle Age"/>
    <x v="1"/>
  </r>
  <r>
    <n v="18494"/>
    <x v="0"/>
    <x v="1"/>
    <n v="110000"/>
    <x v="2"/>
    <x v="0"/>
    <s v="Management"/>
    <x v="0"/>
    <x v="3"/>
    <x v="1"/>
    <x v="1"/>
    <n v="48"/>
    <x v="2"/>
    <s v="Middle Age"/>
    <x v="1"/>
  </r>
  <r>
    <n v="11249"/>
    <x v="0"/>
    <x v="0"/>
    <n v="130000"/>
    <x v="1"/>
    <x v="1"/>
    <s v="Professional"/>
    <x v="0"/>
    <x v="4"/>
    <x v="0"/>
    <x v="0"/>
    <n v="51"/>
    <x v="2"/>
    <s v="Middle Age"/>
    <x v="1"/>
  </r>
  <r>
    <n v="21568"/>
    <x v="0"/>
    <x v="0"/>
    <n v="100000"/>
    <x v="3"/>
    <x v="2"/>
    <s v="Management"/>
    <x v="0"/>
    <x v="3"/>
    <x v="4"/>
    <x v="1"/>
    <n v="34"/>
    <x v="0"/>
    <s v="Millennials"/>
    <x v="1"/>
  </r>
  <r>
    <n v="13981"/>
    <x v="0"/>
    <x v="0"/>
    <n v="10000"/>
    <x v="2"/>
    <x v="2"/>
    <s v="Skilled Manual"/>
    <x v="1"/>
    <x v="4"/>
    <x v="3"/>
    <x v="1"/>
    <n v="62"/>
    <x v="1"/>
    <s v="Old"/>
    <x v="0"/>
  </r>
  <r>
    <n v="23432"/>
    <x v="1"/>
    <x v="1"/>
    <n v="70000"/>
    <x v="3"/>
    <x v="0"/>
    <s v="Professional"/>
    <x v="0"/>
    <x v="1"/>
    <x v="2"/>
    <x v="1"/>
    <n v="37"/>
    <x v="0"/>
    <s v="Millennials"/>
    <x v="1"/>
  </r>
  <r>
    <n v="22931"/>
    <x v="0"/>
    <x v="1"/>
    <n v="100000"/>
    <x v="2"/>
    <x v="4"/>
    <s v="Management"/>
    <x v="1"/>
    <x v="1"/>
    <x v="3"/>
    <x v="1"/>
    <n v="78"/>
    <x v="1"/>
    <s v="Old"/>
    <x v="1"/>
  </r>
  <r>
    <n v="18172"/>
    <x v="0"/>
    <x v="1"/>
    <n v="130000"/>
    <x v="5"/>
    <x v="2"/>
    <s v="Professional"/>
    <x v="0"/>
    <x v="4"/>
    <x v="0"/>
    <x v="0"/>
    <n v="55"/>
    <x v="3"/>
    <s v="Late Middle Age"/>
    <x v="0"/>
  </r>
  <r>
    <n v="12666"/>
    <x v="1"/>
    <x v="1"/>
    <n v="60000"/>
    <x v="3"/>
    <x v="0"/>
    <s v="Professional"/>
    <x v="1"/>
    <x v="3"/>
    <x v="1"/>
    <x v="1"/>
    <n v="31"/>
    <x v="0"/>
    <s v="Millennials"/>
    <x v="0"/>
  </r>
  <r>
    <n v="20598"/>
    <x v="0"/>
    <x v="1"/>
    <n v="100000"/>
    <x v="1"/>
    <x v="3"/>
    <s v="Professional"/>
    <x v="0"/>
    <x v="0"/>
    <x v="4"/>
    <x v="0"/>
    <n v="59"/>
    <x v="1"/>
    <s v="Old"/>
    <x v="1"/>
  </r>
  <r>
    <n v="21375"/>
    <x v="1"/>
    <x v="1"/>
    <n v="20000"/>
    <x v="4"/>
    <x v="3"/>
    <s v="Clerical"/>
    <x v="0"/>
    <x v="2"/>
    <x v="2"/>
    <x v="1"/>
    <n v="57"/>
    <x v="1"/>
    <s v="Old"/>
    <x v="0"/>
  </r>
  <r>
    <n v="20839"/>
    <x v="1"/>
    <x v="0"/>
    <n v="30000"/>
    <x v="1"/>
    <x v="4"/>
    <s v="Clerical"/>
    <x v="0"/>
    <x v="0"/>
    <x v="0"/>
    <x v="0"/>
    <n v="47"/>
    <x v="2"/>
    <s v="Middle Age"/>
    <x v="1"/>
  </r>
  <r>
    <n v="21738"/>
    <x v="0"/>
    <x v="1"/>
    <n v="20000"/>
    <x v="0"/>
    <x v="4"/>
    <s v="Clerical"/>
    <x v="0"/>
    <x v="0"/>
    <x v="0"/>
    <x v="0"/>
    <n v="43"/>
    <x v="0"/>
    <s v="Millennials"/>
    <x v="0"/>
  </r>
  <r>
    <n v="14164"/>
    <x v="1"/>
    <x v="0"/>
    <n v="50000"/>
    <x v="3"/>
    <x v="4"/>
    <s v="Skilled Manual"/>
    <x v="0"/>
    <x v="0"/>
    <x v="0"/>
    <x v="0"/>
    <n v="36"/>
    <x v="0"/>
    <s v="Millennials"/>
    <x v="1"/>
  </r>
  <r>
    <n v="14193"/>
    <x v="1"/>
    <x v="0"/>
    <n v="100000"/>
    <x v="1"/>
    <x v="1"/>
    <s v="Management"/>
    <x v="0"/>
    <x v="3"/>
    <x v="4"/>
    <x v="0"/>
    <n v="56"/>
    <x v="1"/>
    <s v="Old"/>
    <x v="0"/>
  </r>
  <r>
    <n v="12705"/>
    <x v="0"/>
    <x v="1"/>
    <n v="150000"/>
    <x v="3"/>
    <x v="0"/>
    <s v="Management"/>
    <x v="0"/>
    <x v="3"/>
    <x v="0"/>
    <x v="1"/>
    <n v="37"/>
    <x v="0"/>
    <s v="Millennials"/>
    <x v="1"/>
  </r>
  <r>
    <n v="22672"/>
    <x v="1"/>
    <x v="0"/>
    <n v="30000"/>
    <x v="4"/>
    <x v="1"/>
    <s v="Clerical"/>
    <x v="0"/>
    <x v="0"/>
    <x v="0"/>
    <x v="0"/>
    <n v="43"/>
    <x v="0"/>
    <s v="Millennials"/>
    <x v="0"/>
  </r>
  <r>
    <n v="26219"/>
    <x v="0"/>
    <x v="0"/>
    <n v="40000"/>
    <x v="0"/>
    <x v="0"/>
    <s v="Skilled Manual"/>
    <x v="0"/>
    <x v="1"/>
    <x v="3"/>
    <x v="0"/>
    <n v="33"/>
    <x v="0"/>
    <s v="Millennials"/>
    <x v="1"/>
  </r>
  <r>
    <n v="28468"/>
    <x v="0"/>
    <x v="0"/>
    <n v="10000"/>
    <x v="4"/>
    <x v="1"/>
    <s v="Manual"/>
    <x v="0"/>
    <x v="0"/>
    <x v="3"/>
    <x v="0"/>
    <n v="51"/>
    <x v="2"/>
    <s v="Middle Age"/>
    <x v="0"/>
  </r>
  <r>
    <n v="23419"/>
    <x v="1"/>
    <x v="0"/>
    <n v="70000"/>
    <x v="2"/>
    <x v="0"/>
    <s v="Professional"/>
    <x v="0"/>
    <x v="4"/>
    <x v="4"/>
    <x v="1"/>
    <n v="39"/>
    <x v="0"/>
    <s v="Millennials"/>
    <x v="0"/>
  </r>
  <r>
    <n v="17964"/>
    <x v="0"/>
    <x v="1"/>
    <n v="40000"/>
    <x v="3"/>
    <x v="4"/>
    <s v="Clerical"/>
    <x v="0"/>
    <x v="0"/>
    <x v="0"/>
    <x v="0"/>
    <n v="37"/>
    <x v="0"/>
    <s v="Millennials"/>
    <x v="1"/>
  </r>
  <r>
    <n v="20919"/>
    <x v="1"/>
    <x v="0"/>
    <n v="30000"/>
    <x v="4"/>
    <x v="1"/>
    <s v="Clerical"/>
    <x v="0"/>
    <x v="2"/>
    <x v="0"/>
    <x v="0"/>
    <n v="42"/>
    <x v="0"/>
    <s v="Millennials"/>
    <x v="0"/>
  </r>
  <r>
    <n v="20927"/>
    <x v="1"/>
    <x v="0"/>
    <n v="20000"/>
    <x v="2"/>
    <x v="2"/>
    <s v="Manual"/>
    <x v="0"/>
    <x v="2"/>
    <x v="0"/>
    <x v="0"/>
    <n v="27"/>
    <x v="0"/>
    <s v="Millennials"/>
    <x v="0"/>
  </r>
  <r>
    <n v="13133"/>
    <x v="1"/>
    <x v="1"/>
    <n v="100000"/>
    <x v="2"/>
    <x v="0"/>
    <s v="Professional"/>
    <x v="0"/>
    <x v="1"/>
    <x v="2"/>
    <x v="1"/>
    <n v="47"/>
    <x v="2"/>
    <s v="Middle Age"/>
    <x v="1"/>
  </r>
  <r>
    <n v="19626"/>
    <x v="0"/>
    <x v="1"/>
    <n v="70000"/>
    <x v="2"/>
    <x v="1"/>
    <s v="Skilled Manual"/>
    <x v="0"/>
    <x v="4"/>
    <x v="2"/>
    <x v="1"/>
    <n v="45"/>
    <x v="2"/>
    <s v="Middle Age"/>
    <x v="0"/>
  </r>
  <r>
    <n v="21039"/>
    <x v="1"/>
    <x v="0"/>
    <n v="50000"/>
    <x v="3"/>
    <x v="4"/>
    <s v="Skilled Manual"/>
    <x v="1"/>
    <x v="0"/>
    <x v="0"/>
    <x v="0"/>
    <n v="37"/>
    <x v="0"/>
    <s v="Millennials"/>
    <x v="1"/>
  </r>
  <r>
    <n v="12231"/>
    <x v="1"/>
    <x v="0"/>
    <n v="10000"/>
    <x v="4"/>
    <x v="1"/>
    <s v="Manual"/>
    <x v="0"/>
    <x v="0"/>
    <x v="0"/>
    <x v="0"/>
    <n v="51"/>
    <x v="2"/>
    <s v="Middle Age"/>
    <x v="1"/>
  </r>
  <r>
    <n v="25665"/>
    <x v="1"/>
    <x v="0"/>
    <n v="20000"/>
    <x v="3"/>
    <x v="2"/>
    <s v="Manual"/>
    <x v="1"/>
    <x v="1"/>
    <x v="3"/>
    <x v="0"/>
    <n v="28"/>
    <x v="0"/>
    <s v="Millennials"/>
    <x v="0"/>
  </r>
  <r>
    <n v="24061"/>
    <x v="0"/>
    <x v="1"/>
    <n v="10000"/>
    <x v="5"/>
    <x v="3"/>
    <s v="Manual"/>
    <x v="0"/>
    <x v="1"/>
    <x v="0"/>
    <x v="0"/>
    <n v="40"/>
    <x v="0"/>
    <s v="Millennials"/>
    <x v="1"/>
  </r>
  <r>
    <n v="26879"/>
    <x v="1"/>
    <x v="0"/>
    <n v="20000"/>
    <x v="3"/>
    <x v="2"/>
    <s v="Manual"/>
    <x v="1"/>
    <x v="1"/>
    <x v="1"/>
    <x v="0"/>
    <n v="30"/>
    <x v="0"/>
    <s v="Millennials"/>
    <x v="0"/>
  </r>
  <r>
    <n v="12284"/>
    <x v="0"/>
    <x v="0"/>
    <n v="30000"/>
    <x v="3"/>
    <x v="0"/>
    <s v="Clerical"/>
    <x v="1"/>
    <x v="0"/>
    <x v="0"/>
    <x v="0"/>
    <n v="36"/>
    <x v="0"/>
    <s v="Millennials"/>
    <x v="1"/>
  </r>
  <r>
    <n v="26654"/>
    <x v="0"/>
    <x v="0"/>
    <n v="90000"/>
    <x v="0"/>
    <x v="4"/>
    <s v="Management"/>
    <x v="0"/>
    <x v="0"/>
    <x v="0"/>
    <x v="1"/>
    <n v="37"/>
    <x v="0"/>
    <s v="Millennials"/>
    <x v="1"/>
  </r>
  <r>
    <n v="14545"/>
    <x v="0"/>
    <x v="0"/>
    <n v="10000"/>
    <x v="4"/>
    <x v="1"/>
    <s v="Manual"/>
    <x v="0"/>
    <x v="0"/>
    <x v="3"/>
    <x v="0"/>
    <n v="49"/>
    <x v="2"/>
    <s v="Middle Age"/>
    <x v="0"/>
  </r>
  <r>
    <n v="24201"/>
    <x v="0"/>
    <x v="0"/>
    <n v="10000"/>
    <x v="4"/>
    <x v="2"/>
    <s v="Manual"/>
    <x v="0"/>
    <x v="0"/>
    <x v="0"/>
    <x v="0"/>
    <n v="37"/>
    <x v="0"/>
    <s v="Millennials"/>
    <x v="1"/>
  </r>
  <r>
    <n v="20625"/>
    <x v="0"/>
    <x v="1"/>
    <n v="100000"/>
    <x v="3"/>
    <x v="2"/>
    <s v="Management"/>
    <x v="0"/>
    <x v="4"/>
    <x v="4"/>
    <x v="1"/>
    <n v="35"/>
    <x v="0"/>
    <s v="Millennials"/>
    <x v="1"/>
  </r>
  <r>
    <n v="16390"/>
    <x v="1"/>
    <x v="1"/>
    <n v="30000"/>
    <x v="0"/>
    <x v="0"/>
    <s v="Clerical"/>
    <x v="1"/>
    <x v="0"/>
    <x v="0"/>
    <x v="0"/>
    <n v="38"/>
    <x v="0"/>
    <s v="Millennials"/>
    <x v="1"/>
  </r>
  <r>
    <n v="14804"/>
    <x v="1"/>
    <x v="0"/>
    <n v="10000"/>
    <x v="1"/>
    <x v="3"/>
    <s v="Manual"/>
    <x v="0"/>
    <x v="2"/>
    <x v="0"/>
    <x v="0"/>
    <n v="43"/>
    <x v="0"/>
    <s v="Millennials"/>
    <x v="0"/>
  </r>
  <r>
    <n v="12629"/>
    <x v="1"/>
    <x v="1"/>
    <n v="20000"/>
    <x v="0"/>
    <x v="1"/>
    <s v="Manual"/>
    <x v="1"/>
    <x v="0"/>
    <x v="0"/>
    <x v="0"/>
    <n v="37"/>
    <x v="0"/>
    <s v="Millennials"/>
    <x v="0"/>
  </r>
  <r>
    <n v="14696"/>
    <x v="1"/>
    <x v="1"/>
    <n v="10000"/>
    <x v="3"/>
    <x v="3"/>
    <s v="Manual"/>
    <x v="1"/>
    <x v="2"/>
    <x v="0"/>
    <x v="0"/>
    <n v="34"/>
    <x v="0"/>
    <s v="Millennials"/>
    <x v="0"/>
  </r>
  <r>
    <n v="22005"/>
    <x v="0"/>
    <x v="0"/>
    <n v="70000"/>
    <x v="2"/>
    <x v="1"/>
    <s v="Skilled Manual"/>
    <x v="1"/>
    <x v="4"/>
    <x v="2"/>
    <x v="1"/>
    <n v="46"/>
    <x v="2"/>
    <s v="Middle Age"/>
    <x v="0"/>
  </r>
  <r>
    <n v="14544"/>
    <x v="1"/>
    <x v="1"/>
    <n v="10000"/>
    <x v="0"/>
    <x v="1"/>
    <s v="Manual"/>
    <x v="0"/>
    <x v="0"/>
    <x v="0"/>
    <x v="0"/>
    <n v="49"/>
    <x v="2"/>
    <s v="Middle Age"/>
    <x v="0"/>
  </r>
  <r>
    <n v="14312"/>
    <x v="0"/>
    <x v="0"/>
    <n v="60000"/>
    <x v="0"/>
    <x v="1"/>
    <s v="Skilled Manual"/>
    <x v="0"/>
    <x v="1"/>
    <x v="2"/>
    <x v="1"/>
    <n v="45"/>
    <x v="2"/>
    <s v="Middle Age"/>
    <x v="0"/>
  </r>
  <r>
    <n v="29120"/>
    <x v="1"/>
    <x v="0"/>
    <n v="100000"/>
    <x v="0"/>
    <x v="0"/>
    <s v="Management"/>
    <x v="0"/>
    <x v="3"/>
    <x v="1"/>
    <x v="1"/>
    <n v="48"/>
    <x v="2"/>
    <s v="Middle Age"/>
    <x v="0"/>
  </r>
  <r>
    <n v="24187"/>
    <x v="1"/>
    <x v="0"/>
    <n v="30000"/>
    <x v="1"/>
    <x v="4"/>
    <s v="Clerical"/>
    <x v="1"/>
    <x v="0"/>
    <x v="0"/>
    <x v="0"/>
    <n v="46"/>
    <x v="2"/>
    <s v="Middle Age"/>
    <x v="1"/>
  </r>
  <r>
    <n v="15758"/>
    <x v="0"/>
    <x v="1"/>
    <n v="130000"/>
    <x v="3"/>
    <x v="4"/>
    <s v="Management"/>
    <x v="0"/>
    <x v="0"/>
    <x v="2"/>
    <x v="1"/>
    <n v="48"/>
    <x v="2"/>
    <s v="Middle Age"/>
    <x v="0"/>
  </r>
  <r>
    <n v="29094"/>
    <x v="0"/>
    <x v="1"/>
    <n v="30000"/>
    <x v="1"/>
    <x v="2"/>
    <s v="Skilled Manual"/>
    <x v="0"/>
    <x v="2"/>
    <x v="2"/>
    <x v="1"/>
    <n v="54"/>
    <x v="2"/>
    <s v="Middle Age"/>
    <x v="1"/>
  </r>
  <r>
    <n v="28319"/>
    <x v="1"/>
    <x v="0"/>
    <n v="60000"/>
    <x v="0"/>
    <x v="1"/>
    <s v="Skilled Manual"/>
    <x v="1"/>
    <x v="1"/>
    <x v="0"/>
    <x v="1"/>
    <n v="46"/>
    <x v="2"/>
    <s v="Middle Age"/>
    <x v="1"/>
  </r>
  <r>
    <n v="16406"/>
    <x v="0"/>
    <x v="1"/>
    <n v="40000"/>
    <x v="3"/>
    <x v="0"/>
    <s v="Clerical"/>
    <x v="1"/>
    <x v="0"/>
    <x v="0"/>
    <x v="0"/>
    <n v="38"/>
    <x v="0"/>
    <s v="Millennials"/>
    <x v="1"/>
  </r>
  <r>
    <n v="20923"/>
    <x v="0"/>
    <x v="0"/>
    <n v="40000"/>
    <x v="0"/>
    <x v="0"/>
    <s v="Skilled Manual"/>
    <x v="0"/>
    <x v="0"/>
    <x v="0"/>
    <x v="0"/>
    <n v="42"/>
    <x v="0"/>
    <s v="Millennials"/>
    <x v="1"/>
  </r>
  <r>
    <n v="11378"/>
    <x v="1"/>
    <x v="0"/>
    <n v="10000"/>
    <x v="0"/>
    <x v="2"/>
    <s v="Manual"/>
    <x v="1"/>
    <x v="1"/>
    <x v="1"/>
    <x v="0"/>
    <n v="46"/>
    <x v="2"/>
    <s v="Middle Age"/>
    <x v="1"/>
  </r>
  <r>
    <n v="20851"/>
    <x v="1"/>
    <x v="1"/>
    <n v="20000"/>
    <x v="3"/>
    <x v="1"/>
    <s v="Manual"/>
    <x v="1"/>
    <x v="1"/>
    <x v="1"/>
    <x v="0"/>
    <n v="36"/>
    <x v="0"/>
    <s v="Millennials"/>
    <x v="1"/>
  </r>
  <r>
    <n v="21557"/>
    <x v="1"/>
    <x v="0"/>
    <n v="110000"/>
    <x v="3"/>
    <x v="1"/>
    <s v="Management"/>
    <x v="0"/>
    <x v="4"/>
    <x v="4"/>
    <x v="1"/>
    <n v="32"/>
    <x v="0"/>
    <s v="Millennials"/>
    <x v="1"/>
  </r>
  <r>
    <n v="26663"/>
    <x v="1"/>
    <x v="0"/>
    <n v="60000"/>
    <x v="4"/>
    <x v="0"/>
    <s v="Professional"/>
    <x v="1"/>
    <x v="1"/>
    <x v="0"/>
    <x v="1"/>
    <n v="39"/>
    <x v="0"/>
    <s v="Millennials"/>
    <x v="1"/>
  </r>
  <r>
    <n v="11896"/>
    <x v="0"/>
    <x v="1"/>
    <n v="100000"/>
    <x v="0"/>
    <x v="4"/>
    <s v="Management"/>
    <x v="0"/>
    <x v="0"/>
    <x v="1"/>
    <x v="1"/>
    <n v="36"/>
    <x v="0"/>
    <s v="Millennials"/>
    <x v="1"/>
  </r>
  <r>
    <n v="14189"/>
    <x v="0"/>
    <x v="0"/>
    <n v="90000"/>
    <x v="5"/>
    <x v="2"/>
    <s v="Professional"/>
    <x v="1"/>
    <x v="2"/>
    <x v="1"/>
    <x v="0"/>
    <n v="54"/>
    <x v="2"/>
    <s v="Middle Age"/>
    <x v="1"/>
  </r>
  <r>
    <n v="13136"/>
    <x v="0"/>
    <x v="0"/>
    <n v="30000"/>
    <x v="4"/>
    <x v="1"/>
    <s v="Clerical"/>
    <x v="1"/>
    <x v="2"/>
    <x v="2"/>
    <x v="1"/>
    <n v="69"/>
    <x v="1"/>
    <s v="Old"/>
    <x v="0"/>
  </r>
  <r>
    <n v="25906"/>
    <x v="1"/>
    <x v="0"/>
    <n v="10000"/>
    <x v="2"/>
    <x v="2"/>
    <s v="Skilled Manual"/>
    <x v="1"/>
    <x v="2"/>
    <x v="3"/>
    <x v="1"/>
    <n v="62"/>
    <x v="1"/>
    <s v="Old"/>
    <x v="0"/>
  </r>
  <r>
    <n v="17926"/>
    <x v="1"/>
    <x v="0"/>
    <n v="40000"/>
    <x v="3"/>
    <x v="0"/>
    <s v="Clerical"/>
    <x v="1"/>
    <x v="0"/>
    <x v="0"/>
    <x v="1"/>
    <n v="28"/>
    <x v="0"/>
    <s v="Millennials"/>
    <x v="1"/>
  </r>
  <r>
    <n v="26928"/>
    <x v="1"/>
    <x v="1"/>
    <n v="30000"/>
    <x v="0"/>
    <x v="0"/>
    <s v="Clerical"/>
    <x v="0"/>
    <x v="0"/>
    <x v="0"/>
    <x v="0"/>
    <n v="62"/>
    <x v="1"/>
    <s v="Old"/>
    <x v="1"/>
  </r>
  <r>
    <n v="20897"/>
    <x v="0"/>
    <x v="0"/>
    <n v="30000"/>
    <x v="0"/>
    <x v="0"/>
    <s v="Skilled Manual"/>
    <x v="0"/>
    <x v="2"/>
    <x v="0"/>
    <x v="0"/>
    <n v="40"/>
    <x v="0"/>
    <s v="Millennials"/>
    <x v="0"/>
  </r>
  <r>
    <n v="28207"/>
    <x v="0"/>
    <x v="1"/>
    <n v="80000"/>
    <x v="5"/>
    <x v="4"/>
    <s v="Management"/>
    <x v="0"/>
    <x v="1"/>
    <x v="0"/>
    <x v="1"/>
    <n v="36"/>
    <x v="0"/>
    <s v="Millennials"/>
    <x v="1"/>
  </r>
  <r>
    <n v="25923"/>
    <x v="1"/>
    <x v="1"/>
    <n v="10000"/>
    <x v="4"/>
    <x v="3"/>
    <s v="Clerical"/>
    <x v="0"/>
    <x v="2"/>
    <x v="2"/>
    <x v="1"/>
    <n v="58"/>
    <x v="1"/>
    <s v="Old"/>
    <x v="0"/>
  </r>
  <r>
    <n v="11000"/>
    <x v="0"/>
    <x v="1"/>
    <n v="90000"/>
    <x v="4"/>
    <x v="0"/>
    <s v="Professional"/>
    <x v="0"/>
    <x v="0"/>
    <x v="3"/>
    <x v="1"/>
    <n v="40"/>
    <x v="0"/>
    <s v="Millennials"/>
    <x v="1"/>
  </r>
  <r>
    <n v="20974"/>
    <x v="0"/>
    <x v="1"/>
    <n v="10000"/>
    <x v="4"/>
    <x v="0"/>
    <s v="Clerical"/>
    <x v="0"/>
    <x v="1"/>
    <x v="0"/>
    <x v="0"/>
    <n v="66"/>
    <x v="1"/>
    <s v="Old"/>
    <x v="0"/>
  </r>
  <r>
    <n v="28758"/>
    <x v="0"/>
    <x v="1"/>
    <n v="40000"/>
    <x v="4"/>
    <x v="1"/>
    <s v="Clerical"/>
    <x v="0"/>
    <x v="1"/>
    <x v="3"/>
    <x v="0"/>
    <n v="35"/>
    <x v="0"/>
    <s v="Millennials"/>
    <x v="1"/>
  </r>
  <r>
    <n v="11381"/>
    <x v="0"/>
    <x v="0"/>
    <n v="20000"/>
    <x v="4"/>
    <x v="1"/>
    <s v="Manual"/>
    <x v="0"/>
    <x v="1"/>
    <x v="1"/>
    <x v="0"/>
    <n v="47"/>
    <x v="2"/>
    <s v="Middle Age"/>
    <x v="1"/>
  </r>
  <r>
    <n v="17522"/>
    <x v="0"/>
    <x v="1"/>
    <n v="120000"/>
    <x v="5"/>
    <x v="0"/>
    <s v="Management"/>
    <x v="0"/>
    <x v="1"/>
    <x v="1"/>
    <x v="1"/>
    <n v="47"/>
    <x v="2"/>
    <s v="Middle Age"/>
    <x v="0"/>
  </r>
  <r>
    <n v="21207"/>
    <x v="0"/>
    <x v="1"/>
    <n v="60000"/>
    <x v="0"/>
    <x v="1"/>
    <s v="Skilled Manual"/>
    <x v="0"/>
    <x v="1"/>
    <x v="2"/>
    <x v="1"/>
    <n v="46"/>
    <x v="2"/>
    <s v="Middle Age"/>
    <x v="0"/>
  </r>
  <r>
    <n v="28102"/>
    <x v="0"/>
    <x v="1"/>
    <n v="20000"/>
    <x v="5"/>
    <x v="2"/>
    <s v="Skilled Manual"/>
    <x v="0"/>
    <x v="2"/>
    <x v="2"/>
    <x v="1"/>
    <n v="58"/>
    <x v="1"/>
    <s v="Old"/>
    <x v="1"/>
  </r>
  <r>
    <n v="23105"/>
    <x v="1"/>
    <x v="1"/>
    <n v="40000"/>
    <x v="1"/>
    <x v="3"/>
    <s v="Clerical"/>
    <x v="1"/>
    <x v="2"/>
    <x v="2"/>
    <x v="1"/>
    <n v="52"/>
    <x v="2"/>
    <s v="Middle Age"/>
    <x v="1"/>
  </r>
  <r>
    <n v="18740"/>
    <x v="0"/>
    <x v="1"/>
    <n v="80000"/>
    <x v="2"/>
    <x v="0"/>
    <s v="Professional"/>
    <x v="1"/>
    <x v="1"/>
    <x v="0"/>
    <x v="1"/>
    <n v="47"/>
    <x v="2"/>
    <s v="Middle Age"/>
    <x v="1"/>
  </r>
  <r>
    <n v="21213"/>
    <x v="1"/>
    <x v="1"/>
    <n v="70000"/>
    <x v="3"/>
    <x v="0"/>
    <s v="Professional"/>
    <x v="1"/>
    <x v="1"/>
    <x v="2"/>
    <x v="1"/>
    <n v="41"/>
    <x v="0"/>
    <s v="Millennials"/>
    <x v="0"/>
  </r>
  <r>
    <n v="17352"/>
    <x v="0"/>
    <x v="1"/>
    <n v="50000"/>
    <x v="4"/>
    <x v="4"/>
    <s v="Management"/>
    <x v="0"/>
    <x v="1"/>
    <x v="2"/>
    <x v="1"/>
    <n v="64"/>
    <x v="1"/>
    <s v="Old"/>
    <x v="1"/>
  </r>
  <r>
    <n v="14154"/>
    <x v="0"/>
    <x v="1"/>
    <n v="30000"/>
    <x v="3"/>
    <x v="0"/>
    <s v="Clerical"/>
    <x v="0"/>
    <x v="0"/>
    <x v="0"/>
    <x v="0"/>
    <n v="35"/>
    <x v="0"/>
    <s v="Millennials"/>
    <x v="1"/>
  </r>
  <r>
    <n v="19066"/>
    <x v="0"/>
    <x v="1"/>
    <n v="130000"/>
    <x v="5"/>
    <x v="1"/>
    <s v="Professional"/>
    <x v="1"/>
    <x v="4"/>
    <x v="4"/>
    <x v="0"/>
    <n v="54"/>
    <x v="2"/>
    <s v="Middle Age"/>
    <x v="0"/>
  </r>
  <r>
    <n v="11386"/>
    <x v="0"/>
    <x v="0"/>
    <n v="30000"/>
    <x v="1"/>
    <x v="0"/>
    <s v="Clerical"/>
    <x v="0"/>
    <x v="0"/>
    <x v="0"/>
    <x v="0"/>
    <n v="45"/>
    <x v="2"/>
    <s v="Middle Age"/>
    <x v="0"/>
  </r>
  <r>
    <n v="20228"/>
    <x v="0"/>
    <x v="1"/>
    <n v="100000"/>
    <x v="3"/>
    <x v="4"/>
    <s v="Management"/>
    <x v="0"/>
    <x v="0"/>
    <x v="1"/>
    <x v="1"/>
    <n v="40"/>
    <x v="0"/>
    <s v="Millennials"/>
    <x v="1"/>
  </r>
  <r>
    <n v="16675"/>
    <x v="1"/>
    <x v="0"/>
    <n v="160000"/>
    <x v="3"/>
    <x v="4"/>
    <s v="Management"/>
    <x v="1"/>
    <x v="4"/>
    <x v="0"/>
    <x v="1"/>
    <n v="47"/>
    <x v="2"/>
    <s v="Middle Age"/>
    <x v="1"/>
  </r>
  <r>
    <n v="16410"/>
    <x v="1"/>
    <x v="0"/>
    <n v="10000"/>
    <x v="5"/>
    <x v="3"/>
    <s v="Manual"/>
    <x v="0"/>
    <x v="2"/>
    <x v="0"/>
    <x v="0"/>
    <n v="41"/>
    <x v="0"/>
    <s v="Millennials"/>
    <x v="1"/>
  </r>
  <r>
    <n v="27760"/>
    <x v="1"/>
    <x v="0"/>
    <n v="40000"/>
    <x v="3"/>
    <x v="4"/>
    <s v="Clerical"/>
    <x v="1"/>
    <x v="0"/>
    <x v="0"/>
    <x v="0"/>
    <n v="37"/>
    <x v="0"/>
    <s v="Millennials"/>
    <x v="1"/>
  </r>
  <r>
    <n v="22930"/>
    <x v="0"/>
    <x v="1"/>
    <n v="90000"/>
    <x v="5"/>
    <x v="0"/>
    <s v="Professional"/>
    <x v="0"/>
    <x v="0"/>
    <x v="3"/>
    <x v="1"/>
    <n v="38"/>
    <x v="0"/>
    <s v="Millennials"/>
    <x v="1"/>
  </r>
  <r>
    <n v="23780"/>
    <x v="1"/>
    <x v="1"/>
    <n v="40000"/>
    <x v="4"/>
    <x v="1"/>
    <s v="Clerical"/>
    <x v="1"/>
    <x v="2"/>
    <x v="0"/>
    <x v="0"/>
    <n v="36"/>
    <x v="0"/>
    <s v="Millennials"/>
    <x v="1"/>
  </r>
  <r>
    <n v="20994"/>
    <x v="0"/>
    <x v="0"/>
    <n v="20000"/>
    <x v="3"/>
    <x v="0"/>
    <s v="Clerical"/>
    <x v="1"/>
    <x v="0"/>
    <x v="0"/>
    <x v="1"/>
    <n v="26"/>
    <x v="0"/>
    <s v="Millennials"/>
    <x v="1"/>
  </r>
  <r>
    <n v="28379"/>
    <x v="0"/>
    <x v="1"/>
    <n v="30000"/>
    <x v="0"/>
    <x v="0"/>
    <s v="Skilled Manual"/>
    <x v="0"/>
    <x v="2"/>
    <x v="0"/>
    <x v="0"/>
    <n v="40"/>
    <x v="0"/>
    <s v="Millennials"/>
    <x v="0"/>
  </r>
  <r>
    <n v="14865"/>
    <x v="1"/>
    <x v="1"/>
    <n v="40000"/>
    <x v="4"/>
    <x v="1"/>
    <s v="Clerical"/>
    <x v="0"/>
    <x v="2"/>
    <x v="3"/>
    <x v="0"/>
    <n v="36"/>
    <x v="0"/>
    <s v="Millennials"/>
    <x v="0"/>
  </r>
  <r>
    <n v="12663"/>
    <x v="0"/>
    <x v="0"/>
    <n v="90000"/>
    <x v="2"/>
    <x v="3"/>
    <s v="Skilled Manual"/>
    <x v="0"/>
    <x v="2"/>
    <x v="4"/>
    <x v="0"/>
    <n v="59"/>
    <x v="1"/>
    <s v="Old"/>
    <x v="0"/>
  </r>
  <r>
    <n v="24898"/>
    <x v="1"/>
    <x v="0"/>
    <n v="80000"/>
    <x v="3"/>
    <x v="0"/>
    <s v="Professional"/>
    <x v="0"/>
    <x v="4"/>
    <x v="4"/>
    <x v="1"/>
    <n v="32"/>
    <x v="0"/>
    <s v="Millennials"/>
    <x v="0"/>
  </r>
  <r>
    <n v="19508"/>
    <x v="0"/>
    <x v="1"/>
    <n v="10000"/>
    <x v="3"/>
    <x v="3"/>
    <s v="Manual"/>
    <x v="1"/>
    <x v="2"/>
    <x v="0"/>
    <x v="0"/>
    <n v="30"/>
    <x v="0"/>
    <s v="Millennials"/>
    <x v="0"/>
  </r>
  <r>
    <n v="11489"/>
    <x v="1"/>
    <x v="0"/>
    <n v="20000"/>
    <x v="3"/>
    <x v="3"/>
    <s v="Manual"/>
    <x v="1"/>
    <x v="2"/>
    <x v="3"/>
    <x v="0"/>
    <n v="35"/>
    <x v="0"/>
    <s v="Millennials"/>
    <x v="1"/>
  </r>
  <r>
    <n v="18160"/>
    <x v="0"/>
    <x v="1"/>
    <n v="130000"/>
    <x v="1"/>
    <x v="2"/>
    <s v="Professional"/>
    <x v="0"/>
    <x v="3"/>
    <x v="2"/>
    <x v="0"/>
    <n v="51"/>
    <x v="2"/>
    <s v="Middle Age"/>
    <x v="1"/>
  </r>
  <r>
    <n v="25241"/>
    <x v="0"/>
    <x v="1"/>
    <n v="90000"/>
    <x v="4"/>
    <x v="0"/>
    <s v="Professional"/>
    <x v="0"/>
    <x v="1"/>
    <x v="2"/>
    <x v="1"/>
    <n v="47"/>
    <x v="2"/>
    <s v="Middle Age"/>
    <x v="0"/>
  </r>
  <r>
    <n v="24369"/>
    <x v="0"/>
    <x v="1"/>
    <n v="80000"/>
    <x v="2"/>
    <x v="4"/>
    <s v="Management"/>
    <x v="1"/>
    <x v="2"/>
    <x v="0"/>
    <x v="1"/>
    <n v="39"/>
    <x v="0"/>
    <s v="Millennials"/>
    <x v="0"/>
  </r>
  <r>
    <n v="27165"/>
    <x v="1"/>
    <x v="1"/>
    <n v="20000"/>
    <x v="3"/>
    <x v="3"/>
    <s v="Manual"/>
    <x v="1"/>
    <x v="2"/>
    <x v="0"/>
    <x v="0"/>
    <n v="34"/>
    <x v="0"/>
    <s v="Millennials"/>
    <x v="0"/>
  </r>
  <r>
    <n v="29424"/>
    <x v="0"/>
    <x v="1"/>
    <n v="10000"/>
    <x v="3"/>
    <x v="3"/>
    <s v="Manual"/>
    <x v="0"/>
    <x v="2"/>
    <x v="0"/>
    <x v="0"/>
    <n v="32"/>
    <x v="0"/>
    <s v="Millennials"/>
    <x v="0"/>
  </r>
  <r>
    <n v="15926"/>
    <x v="1"/>
    <x v="0"/>
    <n v="120000"/>
    <x v="1"/>
    <x v="2"/>
    <s v="Professional"/>
    <x v="0"/>
    <x v="3"/>
    <x v="2"/>
    <x v="0"/>
    <n v="50"/>
    <x v="2"/>
    <s v="Middle Age"/>
    <x v="1"/>
  </r>
  <r>
    <n v="14554"/>
    <x v="0"/>
    <x v="1"/>
    <n v="20000"/>
    <x v="0"/>
    <x v="0"/>
    <s v="Clerical"/>
    <x v="0"/>
    <x v="0"/>
    <x v="0"/>
    <x v="0"/>
    <n v="66"/>
    <x v="1"/>
    <s v="Old"/>
    <x v="0"/>
  </r>
  <r>
    <n v="16468"/>
    <x v="1"/>
    <x v="1"/>
    <n v="30000"/>
    <x v="3"/>
    <x v="1"/>
    <s v="Clerical"/>
    <x v="0"/>
    <x v="1"/>
    <x v="1"/>
    <x v="0"/>
    <n v="30"/>
    <x v="0"/>
    <s v="Millennials"/>
    <x v="0"/>
  </r>
  <r>
    <n v="19174"/>
    <x v="1"/>
    <x v="0"/>
    <n v="30000"/>
    <x v="3"/>
    <x v="2"/>
    <s v="Manual"/>
    <x v="1"/>
    <x v="1"/>
    <x v="1"/>
    <x v="0"/>
    <n v="32"/>
    <x v="0"/>
    <s v="Millennials"/>
    <x v="1"/>
  </r>
  <r>
    <n v="19183"/>
    <x v="1"/>
    <x v="1"/>
    <n v="10000"/>
    <x v="3"/>
    <x v="3"/>
    <s v="Manual"/>
    <x v="0"/>
    <x v="2"/>
    <x v="3"/>
    <x v="0"/>
    <n v="35"/>
    <x v="0"/>
    <s v="Millennials"/>
    <x v="0"/>
  </r>
  <r>
    <n v="13683"/>
    <x v="1"/>
    <x v="0"/>
    <n v="30000"/>
    <x v="3"/>
    <x v="2"/>
    <s v="Manual"/>
    <x v="1"/>
    <x v="1"/>
    <x v="1"/>
    <x v="0"/>
    <n v="32"/>
    <x v="0"/>
    <s v="Millennials"/>
    <x v="0"/>
  </r>
  <r>
    <n v="17848"/>
    <x v="1"/>
    <x v="1"/>
    <n v="30000"/>
    <x v="3"/>
    <x v="1"/>
    <s v="Clerical"/>
    <x v="1"/>
    <x v="1"/>
    <x v="1"/>
    <x v="0"/>
    <n v="31"/>
    <x v="0"/>
    <s v="Millennials"/>
    <x v="1"/>
  </r>
  <r>
    <n v="17894"/>
    <x v="0"/>
    <x v="0"/>
    <n v="20000"/>
    <x v="0"/>
    <x v="0"/>
    <s v="Clerical"/>
    <x v="0"/>
    <x v="0"/>
    <x v="0"/>
    <x v="0"/>
    <n v="50"/>
    <x v="2"/>
    <s v="Middle Age"/>
    <x v="1"/>
  </r>
  <r>
    <n v="25651"/>
    <x v="0"/>
    <x v="1"/>
    <n v="40000"/>
    <x v="0"/>
    <x v="0"/>
    <s v="Skilled Manual"/>
    <x v="1"/>
    <x v="0"/>
    <x v="0"/>
    <x v="0"/>
    <n v="43"/>
    <x v="0"/>
    <s v="Millennials"/>
    <x v="1"/>
  </r>
  <r>
    <n v="22936"/>
    <x v="1"/>
    <x v="0"/>
    <n v="60000"/>
    <x v="0"/>
    <x v="1"/>
    <s v="Skilled Manual"/>
    <x v="1"/>
    <x v="1"/>
    <x v="0"/>
    <x v="1"/>
    <n v="45"/>
    <x v="2"/>
    <s v="Middle Age"/>
    <x v="1"/>
  </r>
  <r>
    <n v="23915"/>
    <x v="0"/>
    <x v="1"/>
    <n v="20000"/>
    <x v="4"/>
    <x v="2"/>
    <s v="Manual"/>
    <x v="0"/>
    <x v="2"/>
    <x v="0"/>
    <x v="0"/>
    <n v="42"/>
    <x v="0"/>
    <s v="Millennials"/>
    <x v="0"/>
  </r>
  <r>
    <n v="24121"/>
    <x v="1"/>
    <x v="0"/>
    <n v="30000"/>
    <x v="3"/>
    <x v="1"/>
    <s v="Clerical"/>
    <x v="1"/>
    <x v="1"/>
    <x v="0"/>
    <x v="0"/>
    <n v="29"/>
    <x v="0"/>
    <s v="Millennials"/>
    <x v="1"/>
  </r>
  <r>
    <n v="27878"/>
    <x v="1"/>
    <x v="1"/>
    <n v="20000"/>
    <x v="3"/>
    <x v="1"/>
    <s v="Manual"/>
    <x v="1"/>
    <x v="0"/>
    <x v="0"/>
    <x v="1"/>
    <n v="28"/>
    <x v="0"/>
    <s v="Millennials"/>
    <x v="1"/>
  </r>
  <r>
    <n v="13572"/>
    <x v="1"/>
    <x v="1"/>
    <n v="10000"/>
    <x v="1"/>
    <x v="2"/>
    <s v="Manual"/>
    <x v="0"/>
    <x v="0"/>
    <x v="0"/>
    <x v="0"/>
    <n v="37"/>
    <x v="0"/>
    <s v="Millennials"/>
    <x v="1"/>
  </r>
  <r>
    <n v="27941"/>
    <x v="0"/>
    <x v="0"/>
    <n v="80000"/>
    <x v="5"/>
    <x v="1"/>
    <s v="Professional"/>
    <x v="0"/>
    <x v="2"/>
    <x v="1"/>
    <x v="0"/>
    <n v="53"/>
    <x v="2"/>
    <s v="Middle Age"/>
    <x v="0"/>
  </r>
  <r>
    <n v="26354"/>
    <x v="1"/>
    <x v="1"/>
    <n v="40000"/>
    <x v="3"/>
    <x v="4"/>
    <s v="Clerical"/>
    <x v="1"/>
    <x v="0"/>
    <x v="0"/>
    <x v="0"/>
    <n v="38"/>
    <x v="0"/>
    <s v="Millennials"/>
    <x v="1"/>
  </r>
  <r>
    <n v="14785"/>
    <x v="1"/>
    <x v="1"/>
    <n v="30000"/>
    <x v="0"/>
    <x v="0"/>
    <s v="Clerical"/>
    <x v="1"/>
    <x v="1"/>
    <x v="3"/>
    <x v="0"/>
    <n v="39"/>
    <x v="0"/>
    <s v="Millennials"/>
    <x v="0"/>
  </r>
  <r>
    <n v="17238"/>
    <x v="1"/>
    <x v="1"/>
    <n v="80000"/>
    <x v="3"/>
    <x v="0"/>
    <s v="Professional"/>
    <x v="0"/>
    <x v="4"/>
    <x v="4"/>
    <x v="1"/>
    <n v="32"/>
    <x v="0"/>
    <s v="Millennials"/>
    <x v="0"/>
  </r>
  <r>
    <n v="23608"/>
    <x v="0"/>
    <x v="0"/>
    <n v="150000"/>
    <x v="1"/>
    <x v="2"/>
    <s v="Professional"/>
    <x v="0"/>
    <x v="4"/>
    <x v="0"/>
    <x v="0"/>
    <n v="51"/>
    <x v="2"/>
    <s v="Middle Age"/>
    <x v="1"/>
  </r>
  <r>
    <n v="22538"/>
    <x v="1"/>
    <x v="0"/>
    <n v="10000"/>
    <x v="3"/>
    <x v="3"/>
    <s v="Manual"/>
    <x v="0"/>
    <x v="2"/>
    <x v="3"/>
    <x v="0"/>
    <n v="33"/>
    <x v="0"/>
    <s v="Millennials"/>
    <x v="0"/>
  </r>
  <r>
    <n v="12332"/>
    <x v="0"/>
    <x v="1"/>
    <n v="90000"/>
    <x v="5"/>
    <x v="2"/>
    <s v="Management"/>
    <x v="0"/>
    <x v="4"/>
    <x v="2"/>
    <x v="0"/>
    <n v="58"/>
    <x v="1"/>
    <s v="Old"/>
    <x v="1"/>
  </r>
  <r>
    <n v="17230"/>
    <x v="0"/>
    <x v="1"/>
    <n v="80000"/>
    <x v="3"/>
    <x v="0"/>
    <s v="Professional"/>
    <x v="0"/>
    <x v="4"/>
    <x v="4"/>
    <x v="1"/>
    <n v="30"/>
    <x v="0"/>
    <s v="Millennials"/>
    <x v="0"/>
  </r>
  <r>
    <n v="13082"/>
    <x v="1"/>
    <x v="1"/>
    <n v="130000"/>
    <x v="3"/>
    <x v="4"/>
    <s v="Management"/>
    <x v="0"/>
    <x v="0"/>
    <x v="1"/>
    <x v="1"/>
    <n v="48"/>
    <x v="2"/>
    <s v="Middle Age"/>
    <x v="1"/>
  </r>
  <r>
    <n v="22518"/>
    <x v="1"/>
    <x v="0"/>
    <n v="30000"/>
    <x v="1"/>
    <x v="1"/>
    <s v="Clerical"/>
    <x v="1"/>
    <x v="2"/>
    <x v="0"/>
    <x v="0"/>
    <n v="27"/>
    <x v="0"/>
    <s v="Millennials"/>
    <x v="1"/>
  </r>
  <r>
    <n v="13687"/>
    <x v="0"/>
    <x v="1"/>
    <n v="40000"/>
    <x v="0"/>
    <x v="0"/>
    <s v="Skilled Manual"/>
    <x v="0"/>
    <x v="1"/>
    <x v="0"/>
    <x v="0"/>
    <n v="33"/>
    <x v="0"/>
    <s v="Millennials"/>
    <x v="1"/>
  </r>
  <r>
    <n v="23571"/>
    <x v="0"/>
    <x v="0"/>
    <n v="40000"/>
    <x v="4"/>
    <x v="0"/>
    <s v="Management"/>
    <x v="0"/>
    <x v="2"/>
    <x v="0"/>
    <x v="1"/>
    <n v="66"/>
    <x v="1"/>
    <s v="Old"/>
    <x v="1"/>
  </r>
  <r>
    <n v="19305"/>
    <x v="1"/>
    <x v="0"/>
    <n v="10000"/>
    <x v="4"/>
    <x v="2"/>
    <s v="Manual"/>
    <x v="0"/>
    <x v="1"/>
    <x v="0"/>
    <x v="0"/>
    <n v="38"/>
    <x v="0"/>
    <s v="Millennials"/>
    <x v="1"/>
  </r>
  <r>
    <n v="22636"/>
    <x v="1"/>
    <x v="0"/>
    <n v="40000"/>
    <x v="3"/>
    <x v="0"/>
    <s v="Clerical"/>
    <x v="1"/>
    <x v="0"/>
    <x v="0"/>
    <x v="0"/>
    <n v="38"/>
    <x v="0"/>
    <s v="Millennials"/>
    <x v="1"/>
  </r>
  <r>
    <n v="17310"/>
    <x v="0"/>
    <x v="1"/>
    <n v="60000"/>
    <x v="0"/>
    <x v="1"/>
    <s v="Skilled Manual"/>
    <x v="0"/>
    <x v="1"/>
    <x v="0"/>
    <x v="1"/>
    <n v="45"/>
    <x v="2"/>
    <s v="Middle Age"/>
    <x v="1"/>
  </r>
  <r>
    <n v="12133"/>
    <x v="0"/>
    <x v="0"/>
    <n v="130000"/>
    <x v="1"/>
    <x v="1"/>
    <s v="Professional"/>
    <x v="0"/>
    <x v="4"/>
    <x v="2"/>
    <x v="0"/>
    <n v="50"/>
    <x v="2"/>
    <s v="Middle Age"/>
    <x v="1"/>
  </r>
  <r>
    <n v="25918"/>
    <x v="1"/>
    <x v="0"/>
    <n v="30000"/>
    <x v="4"/>
    <x v="1"/>
    <s v="Clerical"/>
    <x v="1"/>
    <x v="2"/>
    <x v="2"/>
    <x v="1"/>
    <n v="60"/>
    <x v="1"/>
    <s v="Old"/>
    <x v="1"/>
  </r>
  <r>
    <n v="25752"/>
    <x v="1"/>
    <x v="0"/>
    <n v="20000"/>
    <x v="4"/>
    <x v="1"/>
    <s v="Manual"/>
    <x v="1"/>
    <x v="1"/>
    <x v="0"/>
    <x v="0"/>
    <n v="53"/>
    <x v="2"/>
    <s v="Middle Age"/>
    <x v="1"/>
  </r>
  <r>
    <n v="17324"/>
    <x v="0"/>
    <x v="0"/>
    <n v="100000"/>
    <x v="5"/>
    <x v="0"/>
    <s v="Professional"/>
    <x v="0"/>
    <x v="1"/>
    <x v="4"/>
    <x v="1"/>
    <n v="46"/>
    <x v="2"/>
    <s v="Middle Age"/>
    <x v="0"/>
  </r>
  <r>
    <n v="22918"/>
    <x v="1"/>
    <x v="1"/>
    <n v="80000"/>
    <x v="2"/>
    <x v="4"/>
    <s v="Management"/>
    <x v="0"/>
    <x v="4"/>
    <x v="0"/>
    <x v="1"/>
    <n v="50"/>
    <x v="2"/>
    <s v="Middle Age"/>
    <x v="0"/>
  </r>
  <r>
    <n v="12510"/>
    <x v="0"/>
    <x v="1"/>
    <n v="40000"/>
    <x v="0"/>
    <x v="0"/>
    <s v="Skilled Manual"/>
    <x v="0"/>
    <x v="1"/>
    <x v="0"/>
    <x v="0"/>
    <n v="43"/>
    <x v="0"/>
    <s v="Millennials"/>
    <x v="1"/>
  </r>
  <r>
    <n v="25512"/>
    <x v="1"/>
    <x v="1"/>
    <n v="20000"/>
    <x v="3"/>
    <x v="2"/>
    <s v="Manual"/>
    <x v="1"/>
    <x v="1"/>
    <x v="1"/>
    <x v="0"/>
    <n v="30"/>
    <x v="0"/>
    <s v="Millennials"/>
    <x v="0"/>
  </r>
  <r>
    <n v="16179"/>
    <x v="1"/>
    <x v="0"/>
    <n v="80000"/>
    <x v="2"/>
    <x v="0"/>
    <s v="Professional"/>
    <x v="0"/>
    <x v="3"/>
    <x v="3"/>
    <x v="1"/>
    <n v="38"/>
    <x v="0"/>
    <s v="Millennials"/>
    <x v="0"/>
  </r>
  <r>
    <n v="15628"/>
    <x v="0"/>
    <x v="0"/>
    <n v="40000"/>
    <x v="0"/>
    <x v="0"/>
    <s v="Skilled Manual"/>
    <x v="0"/>
    <x v="1"/>
    <x v="0"/>
    <x v="0"/>
    <n v="89"/>
    <x v="1"/>
    <s v="Old"/>
    <x v="0"/>
  </r>
  <r>
    <n v="20977"/>
    <x v="0"/>
    <x v="1"/>
    <n v="20000"/>
    <x v="0"/>
    <x v="0"/>
    <s v="Clerical"/>
    <x v="0"/>
    <x v="0"/>
    <x v="0"/>
    <x v="0"/>
    <n v="64"/>
    <x v="1"/>
    <s v="Old"/>
    <x v="1"/>
  </r>
  <r>
    <n v="18140"/>
    <x v="0"/>
    <x v="1"/>
    <n v="130000"/>
    <x v="1"/>
    <x v="1"/>
    <s v="Professional"/>
    <x v="1"/>
    <x v="4"/>
    <x v="2"/>
    <x v="0"/>
    <n v="51"/>
    <x v="2"/>
    <s v="Middle Age"/>
    <x v="1"/>
  </r>
  <r>
    <n v="20417"/>
    <x v="0"/>
    <x v="1"/>
    <n v="30000"/>
    <x v="1"/>
    <x v="1"/>
    <s v="Clerical"/>
    <x v="1"/>
    <x v="2"/>
    <x v="2"/>
    <x v="1"/>
    <n v="56"/>
    <x v="1"/>
    <s v="Old"/>
    <x v="0"/>
  </r>
  <r>
    <n v="18267"/>
    <x v="0"/>
    <x v="1"/>
    <n v="60000"/>
    <x v="1"/>
    <x v="0"/>
    <s v="Professional"/>
    <x v="0"/>
    <x v="2"/>
    <x v="2"/>
    <x v="1"/>
    <n v="43"/>
    <x v="0"/>
    <s v="Millennials"/>
    <x v="0"/>
  </r>
  <r>
    <n v="13620"/>
    <x v="1"/>
    <x v="1"/>
    <n v="70000"/>
    <x v="3"/>
    <x v="0"/>
    <s v="Professional"/>
    <x v="1"/>
    <x v="4"/>
    <x v="4"/>
    <x v="1"/>
    <n v="30"/>
    <x v="0"/>
    <s v="Millennials"/>
    <x v="1"/>
  </r>
  <r>
    <n v="22974"/>
    <x v="0"/>
    <x v="0"/>
    <n v="30000"/>
    <x v="4"/>
    <x v="1"/>
    <s v="Clerical"/>
    <x v="0"/>
    <x v="2"/>
    <x v="2"/>
    <x v="1"/>
    <n v="69"/>
    <x v="1"/>
    <s v="Old"/>
    <x v="0"/>
  </r>
  <r>
    <n v="13586"/>
    <x v="0"/>
    <x v="1"/>
    <n v="80000"/>
    <x v="5"/>
    <x v="1"/>
    <s v="Professional"/>
    <x v="0"/>
    <x v="2"/>
    <x v="4"/>
    <x v="0"/>
    <n v="53"/>
    <x v="2"/>
    <s v="Middle Age"/>
    <x v="0"/>
  </r>
  <r>
    <n v="17978"/>
    <x v="0"/>
    <x v="1"/>
    <n v="40000"/>
    <x v="3"/>
    <x v="4"/>
    <s v="Clerical"/>
    <x v="0"/>
    <x v="0"/>
    <x v="0"/>
    <x v="0"/>
    <n v="37"/>
    <x v="0"/>
    <s v="Millennials"/>
    <x v="1"/>
  </r>
  <r>
    <n v="12581"/>
    <x v="1"/>
    <x v="0"/>
    <n v="10000"/>
    <x v="3"/>
    <x v="1"/>
    <s v="Manual"/>
    <x v="1"/>
    <x v="1"/>
    <x v="0"/>
    <x v="1"/>
    <n v="28"/>
    <x v="0"/>
    <s v="Millennials"/>
    <x v="1"/>
  </r>
  <r>
    <n v="18018"/>
    <x v="1"/>
    <x v="1"/>
    <n v="30000"/>
    <x v="1"/>
    <x v="1"/>
    <s v="Clerical"/>
    <x v="0"/>
    <x v="0"/>
    <x v="0"/>
    <x v="0"/>
    <n v="43"/>
    <x v="0"/>
    <s v="Millennials"/>
    <x v="0"/>
  </r>
  <r>
    <n v="28957"/>
    <x v="1"/>
    <x v="0"/>
    <n v="120000"/>
    <x v="3"/>
    <x v="3"/>
    <s v="Professional"/>
    <x v="0"/>
    <x v="3"/>
    <x v="4"/>
    <x v="1"/>
    <n v="34"/>
    <x v="0"/>
    <s v="Millennials"/>
    <x v="1"/>
  </r>
  <r>
    <n v="13690"/>
    <x v="1"/>
    <x v="0"/>
    <n v="20000"/>
    <x v="3"/>
    <x v="3"/>
    <s v="Manual"/>
    <x v="1"/>
    <x v="2"/>
    <x v="3"/>
    <x v="0"/>
    <n v="34"/>
    <x v="0"/>
    <s v="Millennials"/>
    <x v="1"/>
  </r>
  <r>
    <n v="12568"/>
    <x v="0"/>
    <x v="0"/>
    <n v="30000"/>
    <x v="0"/>
    <x v="0"/>
    <s v="Clerical"/>
    <x v="0"/>
    <x v="0"/>
    <x v="0"/>
    <x v="0"/>
    <n v="64"/>
    <x v="1"/>
    <s v="Old"/>
    <x v="0"/>
  </r>
  <r>
    <n v="13122"/>
    <x v="0"/>
    <x v="0"/>
    <n v="80000"/>
    <x v="3"/>
    <x v="0"/>
    <s v="Professional"/>
    <x v="0"/>
    <x v="1"/>
    <x v="3"/>
    <x v="1"/>
    <n v="41"/>
    <x v="0"/>
    <s v="Millennials"/>
    <x v="1"/>
  </r>
  <r>
    <n v="21184"/>
    <x v="1"/>
    <x v="1"/>
    <n v="70000"/>
    <x v="3"/>
    <x v="0"/>
    <s v="Professional"/>
    <x v="1"/>
    <x v="1"/>
    <x v="2"/>
    <x v="1"/>
    <n v="38"/>
    <x v="0"/>
    <s v="Millennials"/>
    <x v="0"/>
  </r>
  <r>
    <n v="26150"/>
    <x v="1"/>
    <x v="0"/>
    <n v="70000"/>
    <x v="3"/>
    <x v="0"/>
    <s v="Professional"/>
    <x v="1"/>
    <x v="1"/>
    <x v="0"/>
    <x v="1"/>
    <n v="41"/>
    <x v="0"/>
    <s v="Millennials"/>
    <x v="1"/>
  </r>
  <r>
    <n v="24151"/>
    <x v="1"/>
    <x v="1"/>
    <n v="20000"/>
    <x v="0"/>
    <x v="0"/>
    <s v="Clerical"/>
    <x v="1"/>
    <x v="0"/>
    <x v="0"/>
    <x v="0"/>
    <n v="51"/>
    <x v="2"/>
    <s v="Middle Age"/>
    <x v="0"/>
  </r>
  <r>
    <n v="23962"/>
    <x v="0"/>
    <x v="0"/>
    <n v="10000"/>
    <x v="3"/>
    <x v="3"/>
    <s v="Manual"/>
    <x v="0"/>
    <x v="2"/>
    <x v="3"/>
    <x v="0"/>
    <n v="32"/>
    <x v="0"/>
    <s v="Millennials"/>
    <x v="0"/>
  </r>
  <r>
    <n v="17793"/>
    <x v="0"/>
    <x v="0"/>
    <n v="40000"/>
    <x v="3"/>
    <x v="0"/>
    <s v="Clerical"/>
    <x v="0"/>
    <x v="0"/>
    <x v="0"/>
    <x v="0"/>
    <n v="38"/>
    <x v="0"/>
    <s v="Millennials"/>
    <x v="1"/>
  </r>
  <r>
    <n v="14926"/>
    <x v="0"/>
    <x v="1"/>
    <n v="30000"/>
    <x v="0"/>
    <x v="0"/>
    <s v="Clerical"/>
    <x v="0"/>
    <x v="0"/>
    <x v="0"/>
    <x v="0"/>
    <n v="38"/>
    <x v="0"/>
    <s v="Millennials"/>
    <x v="1"/>
  </r>
  <r>
    <n v="16163"/>
    <x v="1"/>
    <x v="1"/>
    <n v="60000"/>
    <x v="4"/>
    <x v="0"/>
    <s v="Professional"/>
    <x v="0"/>
    <x v="1"/>
    <x v="1"/>
    <x v="1"/>
    <n v="38"/>
    <x v="0"/>
    <s v="Millennials"/>
    <x v="1"/>
  </r>
  <r>
    <n v="21365"/>
    <x v="0"/>
    <x v="0"/>
    <n v="10000"/>
    <x v="4"/>
    <x v="3"/>
    <s v="Clerical"/>
    <x v="0"/>
    <x v="2"/>
    <x v="2"/>
    <x v="1"/>
    <n v="58"/>
    <x v="1"/>
    <s v="Old"/>
    <x v="0"/>
  </r>
  <r>
    <n v="27771"/>
    <x v="1"/>
    <x v="1"/>
    <n v="30000"/>
    <x v="0"/>
    <x v="0"/>
    <s v="Clerical"/>
    <x v="0"/>
    <x v="1"/>
    <x v="3"/>
    <x v="0"/>
    <n v="39"/>
    <x v="0"/>
    <s v="Millennials"/>
    <x v="1"/>
  </r>
  <r>
    <n v="26167"/>
    <x v="1"/>
    <x v="0"/>
    <n v="40000"/>
    <x v="4"/>
    <x v="0"/>
    <s v="Management"/>
    <x v="1"/>
    <x v="1"/>
    <x v="2"/>
    <x v="1"/>
    <n v="53"/>
    <x v="2"/>
    <s v="Middle Age"/>
    <x v="1"/>
  </r>
  <r>
    <n v="25792"/>
    <x v="1"/>
    <x v="0"/>
    <n v="110000"/>
    <x v="1"/>
    <x v="0"/>
    <s v="Management"/>
    <x v="0"/>
    <x v="3"/>
    <x v="4"/>
    <x v="0"/>
    <n v="53"/>
    <x v="2"/>
    <s v="Middle Age"/>
    <x v="0"/>
  </r>
  <r>
    <n v="11555"/>
    <x v="0"/>
    <x v="0"/>
    <n v="40000"/>
    <x v="0"/>
    <x v="0"/>
    <s v="Clerical"/>
    <x v="0"/>
    <x v="0"/>
    <x v="0"/>
    <x v="0"/>
    <n v="80"/>
    <x v="1"/>
    <s v="Old"/>
    <x v="0"/>
  </r>
  <r>
    <n v="22381"/>
    <x v="0"/>
    <x v="1"/>
    <n v="10000"/>
    <x v="0"/>
    <x v="4"/>
    <s v="Manual"/>
    <x v="0"/>
    <x v="0"/>
    <x v="0"/>
    <x v="0"/>
    <n v="44"/>
    <x v="0"/>
    <s v="Millennials"/>
    <x v="0"/>
  </r>
  <r>
    <n v="17882"/>
    <x v="0"/>
    <x v="1"/>
    <n v="20000"/>
    <x v="0"/>
    <x v="4"/>
    <s v="Clerical"/>
    <x v="0"/>
    <x v="0"/>
    <x v="0"/>
    <x v="0"/>
    <n v="44"/>
    <x v="0"/>
    <s v="Millennials"/>
    <x v="0"/>
  </r>
  <r>
    <n v="22174"/>
    <x v="0"/>
    <x v="1"/>
    <n v="30000"/>
    <x v="1"/>
    <x v="2"/>
    <s v="Skilled Manual"/>
    <x v="0"/>
    <x v="2"/>
    <x v="2"/>
    <x v="1"/>
    <n v="54"/>
    <x v="2"/>
    <s v="Middle Age"/>
    <x v="1"/>
  </r>
  <r>
    <n v="22439"/>
    <x v="0"/>
    <x v="0"/>
    <n v="30000"/>
    <x v="3"/>
    <x v="0"/>
    <s v="Clerical"/>
    <x v="0"/>
    <x v="0"/>
    <x v="0"/>
    <x v="0"/>
    <n v="37"/>
    <x v="0"/>
    <s v="Millennials"/>
    <x v="1"/>
  </r>
  <r>
    <n v="18012"/>
    <x v="0"/>
    <x v="0"/>
    <n v="40000"/>
    <x v="0"/>
    <x v="0"/>
    <s v="Skilled Manual"/>
    <x v="0"/>
    <x v="0"/>
    <x v="0"/>
    <x v="0"/>
    <n v="41"/>
    <x v="0"/>
    <s v="Millennials"/>
    <x v="0"/>
  </r>
  <r>
    <n v="27582"/>
    <x v="1"/>
    <x v="0"/>
    <n v="90000"/>
    <x v="4"/>
    <x v="0"/>
    <s v="Professional"/>
    <x v="1"/>
    <x v="0"/>
    <x v="0"/>
    <x v="1"/>
    <n v="36"/>
    <x v="0"/>
    <s v="Millennials"/>
    <x v="1"/>
  </r>
  <r>
    <n v="12744"/>
    <x v="1"/>
    <x v="0"/>
    <n v="40000"/>
    <x v="4"/>
    <x v="1"/>
    <s v="Clerical"/>
    <x v="0"/>
    <x v="0"/>
    <x v="0"/>
    <x v="0"/>
    <n v="33"/>
    <x v="0"/>
    <s v="Millennials"/>
    <x v="0"/>
  </r>
  <r>
    <n v="22821"/>
    <x v="0"/>
    <x v="0"/>
    <n v="130000"/>
    <x v="1"/>
    <x v="1"/>
    <s v="Professional"/>
    <x v="0"/>
    <x v="3"/>
    <x v="0"/>
    <x v="0"/>
    <n v="52"/>
    <x v="2"/>
    <s v="Middle Age"/>
    <x v="0"/>
  </r>
  <r>
    <n v="20171"/>
    <x v="0"/>
    <x v="0"/>
    <n v="20000"/>
    <x v="4"/>
    <x v="1"/>
    <s v="Manual"/>
    <x v="0"/>
    <x v="1"/>
    <x v="0"/>
    <x v="0"/>
    <n v="46"/>
    <x v="2"/>
    <s v="Middle Age"/>
    <x v="1"/>
  </r>
  <r>
    <n v="11116"/>
    <x v="0"/>
    <x v="1"/>
    <n v="70000"/>
    <x v="2"/>
    <x v="1"/>
    <s v="Skilled Manual"/>
    <x v="0"/>
    <x v="2"/>
    <x v="2"/>
    <x v="1"/>
    <n v="43"/>
    <x v="0"/>
    <s v="Millennials"/>
    <x v="0"/>
  </r>
  <r>
    <n v="20053"/>
    <x v="1"/>
    <x v="1"/>
    <n v="40000"/>
    <x v="4"/>
    <x v="1"/>
    <s v="Clerical"/>
    <x v="0"/>
    <x v="0"/>
    <x v="0"/>
    <x v="0"/>
    <n v="34"/>
    <x v="0"/>
    <s v="Millennials"/>
    <x v="0"/>
  </r>
  <r>
    <n v="25266"/>
    <x v="1"/>
    <x v="0"/>
    <n v="30000"/>
    <x v="4"/>
    <x v="1"/>
    <s v="Clerical"/>
    <x v="1"/>
    <x v="2"/>
    <x v="2"/>
    <x v="1"/>
    <n v="67"/>
    <x v="1"/>
    <s v="Old"/>
    <x v="0"/>
  </r>
  <r>
    <n v="17960"/>
    <x v="0"/>
    <x v="0"/>
    <n v="40000"/>
    <x v="3"/>
    <x v="4"/>
    <s v="Clerical"/>
    <x v="0"/>
    <x v="0"/>
    <x v="0"/>
    <x v="0"/>
    <n v="35"/>
    <x v="0"/>
    <s v="Millennials"/>
    <x v="1"/>
  </r>
  <r>
    <n v="13961"/>
    <x v="0"/>
    <x v="0"/>
    <n v="80000"/>
    <x v="2"/>
    <x v="4"/>
    <s v="Management"/>
    <x v="0"/>
    <x v="4"/>
    <x v="0"/>
    <x v="1"/>
    <n v="40"/>
    <x v="0"/>
    <s v="Millennials"/>
    <x v="0"/>
  </r>
  <r>
    <n v="11897"/>
    <x v="1"/>
    <x v="1"/>
    <n v="60000"/>
    <x v="4"/>
    <x v="0"/>
    <s v="Professional"/>
    <x v="1"/>
    <x v="1"/>
    <x v="0"/>
    <x v="1"/>
    <n v="37"/>
    <x v="0"/>
    <s v="Millennials"/>
    <x v="1"/>
  </r>
  <r>
    <n v="11139"/>
    <x v="1"/>
    <x v="0"/>
    <n v="30000"/>
    <x v="4"/>
    <x v="1"/>
    <s v="Clerical"/>
    <x v="1"/>
    <x v="2"/>
    <x v="2"/>
    <x v="1"/>
    <n v="67"/>
    <x v="1"/>
    <s v="Old"/>
    <x v="0"/>
  </r>
  <r>
    <n v="11576"/>
    <x v="0"/>
    <x v="1"/>
    <n v="30000"/>
    <x v="0"/>
    <x v="0"/>
    <s v="Skilled Manual"/>
    <x v="0"/>
    <x v="2"/>
    <x v="0"/>
    <x v="0"/>
    <n v="41"/>
    <x v="0"/>
    <s v="Millennials"/>
    <x v="1"/>
  </r>
  <r>
    <n v="19255"/>
    <x v="1"/>
    <x v="1"/>
    <n v="10000"/>
    <x v="4"/>
    <x v="1"/>
    <s v="Manual"/>
    <x v="0"/>
    <x v="1"/>
    <x v="0"/>
    <x v="0"/>
    <n v="51"/>
    <x v="2"/>
    <s v="Middle Age"/>
    <x v="1"/>
  </r>
  <r>
    <n v="18153"/>
    <x v="0"/>
    <x v="0"/>
    <n v="100000"/>
    <x v="4"/>
    <x v="0"/>
    <s v="Management"/>
    <x v="0"/>
    <x v="3"/>
    <x v="4"/>
    <x v="0"/>
    <n v="59"/>
    <x v="1"/>
    <s v="Old"/>
    <x v="0"/>
  </r>
  <r>
    <n v="14547"/>
    <x v="0"/>
    <x v="1"/>
    <n v="10000"/>
    <x v="4"/>
    <x v="1"/>
    <s v="Manual"/>
    <x v="0"/>
    <x v="0"/>
    <x v="3"/>
    <x v="0"/>
    <n v="51"/>
    <x v="2"/>
    <s v="Middle Age"/>
    <x v="0"/>
  </r>
  <r>
    <n v="24901"/>
    <x v="1"/>
    <x v="1"/>
    <n v="110000"/>
    <x v="3"/>
    <x v="1"/>
    <s v="Management"/>
    <x v="1"/>
    <x v="4"/>
    <x v="4"/>
    <x v="1"/>
    <n v="32"/>
    <x v="0"/>
    <s v="Millennials"/>
    <x v="1"/>
  </r>
  <r>
    <n v="27169"/>
    <x v="1"/>
    <x v="1"/>
    <n v="30000"/>
    <x v="3"/>
    <x v="2"/>
    <s v="Manual"/>
    <x v="0"/>
    <x v="1"/>
    <x v="1"/>
    <x v="0"/>
    <n v="34"/>
    <x v="0"/>
    <s v="Millennials"/>
    <x v="1"/>
  </r>
  <r>
    <n v="14805"/>
    <x v="1"/>
    <x v="0"/>
    <n v="10000"/>
    <x v="1"/>
    <x v="3"/>
    <s v="Manual"/>
    <x v="0"/>
    <x v="2"/>
    <x v="0"/>
    <x v="0"/>
    <n v="43"/>
    <x v="0"/>
    <s v="Millennials"/>
    <x v="0"/>
  </r>
  <r>
    <n v="15822"/>
    <x v="0"/>
    <x v="1"/>
    <n v="40000"/>
    <x v="4"/>
    <x v="0"/>
    <s v="Management"/>
    <x v="0"/>
    <x v="2"/>
    <x v="0"/>
    <x v="1"/>
    <n v="67"/>
    <x v="1"/>
    <s v="Old"/>
    <x v="0"/>
  </r>
  <r>
    <n v="19389"/>
    <x v="1"/>
    <x v="1"/>
    <n v="30000"/>
    <x v="3"/>
    <x v="1"/>
    <s v="Clerical"/>
    <x v="1"/>
    <x v="1"/>
    <x v="1"/>
    <x v="0"/>
    <n v="28"/>
    <x v="0"/>
    <s v="Millennials"/>
    <x v="0"/>
  </r>
  <r>
    <n v="17048"/>
    <x v="1"/>
    <x v="0"/>
    <n v="90000"/>
    <x v="0"/>
    <x v="4"/>
    <s v="Management"/>
    <x v="0"/>
    <x v="0"/>
    <x v="0"/>
    <x v="1"/>
    <n v="36"/>
    <x v="0"/>
    <s v="Millennials"/>
    <x v="1"/>
  </r>
  <r>
    <n v="22204"/>
    <x v="0"/>
    <x v="1"/>
    <n v="110000"/>
    <x v="5"/>
    <x v="0"/>
    <s v="Management"/>
    <x v="0"/>
    <x v="4"/>
    <x v="1"/>
    <x v="1"/>
    <n v="48"/>
    <x v="2"/>
    <s v="Middle Age"/>
    <x v="0"/>
  </r>
  <r>
    <n v="12718"/>
    <x v="1"/>
    <x v="0"/>
    <n v="30000"/>
    <x v="3"/>
    <x v="1"/>
    <s v="Clerical"/>
    <x v="0"/>
    <x v="1"/>
    <x v="1"/>
    <x v="0"/>
    <n v="31"/>
    <x v="0"/>
    <s v="Millennials"/>
    <x v="0"/>
  </r>
  <r>
    <n v="15019"/>
    <x v="1"/>
    <x v="0"/>
    <n v="30000"/>
    <x v="1"/>
    <x v="2"/>
    <s v="Skilled Manual"/>
    <x v="0"/>
    <x v="2"/>
    <x v="2"/>
    <x v="1"/>
    <n v="55"/>
    <x v="3"/>
    <s v="Late Middle Age"/>
    <x v="0"/>
  </r>
  <r>
    <n v="28488"/>
    <x v="1"/>
    <x v="1"/>
    <n v="20000"/>
    <x v="3"/>
    <x v="1"/>
    <s v="Manual"/>
    <x v="0"/>
    <x v="0"/>
    <x v="0"/>
    <x v="1"/>
    <n v="28"/>
    <x v="0"/>
    <s v="Millennials"/>
    <x v="1"/>
  </r>
  <r>
    <n v="21891"/>
    <x v="0"/>
    <x v="0"/>
    <n v="110000"/>
    <x v="3"/>
    <x v="2"/>
    <s v="Management"/>
    <x v="0"/>
    <x v="4"/>
    <x v="4"/>
    <x v="1"/>
    <n v="34"/>
    <x v="0"/>
    <s v="Millennials"/>
    <x v="1"/>
  </r>
  <r>
    <n v="27814"/>
    <x v="1"/>
    <x v="0"/>
    <n v="30000"/>
    <x v="1"/>
    <x v="1"/>
    <s v="Clerical"/>
    <x v="1"/>
    <x v="1"/>
    <x v="0"/>
    <x v="0"/>
    <n v="26"/>
    <x v="0"/>
    <s v="Millennials"/>
    <x v="0"/>
  </r>
  <r>
    <n v="22175"/>
    <x v="0"/>
    <x v="0"/>
    <n v="30000"/>
    <x v="1"/>
    <x v="2"/>
    <s v="Skilled Manual"/>
    <x v="0"/>
    <x v="2"/>
    <x v="2"/>
    <x v="1"/>
    <n v="53"/>
    <x v="2"/>
    <s v="Middle Age"/>
    <x v="1"/>
  </r>
  <r>
    <n v="29447"/>
    <x v="1"/>
    <x v="0"/>
    <n v="10000"/>
    <x v="4"/>
    <x v="0"/>
    <s v="Clerical"/>
    <x v="1"/>
    <x v="1"/>
    <x v="1"/>
    <x v="0"/>
    <n v="68"/>
    <x v="1"/>
    <s v="Old"/>
    <x v="0"/>
  </r>
  <r>
    <n v="19784"/>
    <x v="0"/>
    <x v="0"/>
    <n v="80000"/>
    <x v="4"/>
    <x v="2"/>
    <s v="Skilled Manual"/>
    <x v="0"/>
    <x v="2"/>
    <x v="2"/>
    <x v="1"/>
    <n v="50"/>
    <x v="2"/>
    <s v="Middle Age"/>
    <x v="1"/>
  </r>
  <r>
    <n v="27824"/>
    <x v="1"/>
    <x v="0"/>
    <n v="30000"/>
    <x v="1"/>
    <x v="1"/>
    <s v="Clerical"/>
    <x v="0"/>
    <x v="2"/>
    <x v="0"/>
    <x v="0"/>
    <n v="28"/>
    <x v="0"/>
    <s v="Millennials"/>
    <x v="1"/>
  </r>
  <r>
    <n v="24093"/>
    <x v="1"/>
    <x v="0"/>
    <n v="80000"/>
    <x v="3"/>
    <x v="4"/>
    <s v="Skilled Manual"/>
    <x v="1"/>
    <x v="0"/>
    <x v="0"/>
    <x v="0"/>
    <n v="40"/>
    <x v="0"/>
    <s v="Millennials"/>
    <x v="1"/>
  </r>
  <r>
    <n v="19618"/>
    <x v="0"/>
    <x v="1"/>
    <n v="70000"/>
    <x v="2"/>
    <x v="1"/>
    <s v="Skilled Manual"/>
    <x v="0"/>
    <x v="2"/>
    <x v="0"/>
    <x v="1"/>
    <n v="44"/>
    <x v="0"/>
    <s v="Millennials"/>
    <x v="0"/>
  </r>
  <r>
    <n v="21561"/>
    <x v="1"/>
    <x v="1"/>
    <n v="90000"/>
    <x v="3"/>
    <x v="0"/>
    <s v="Professional"/>
    <x v="1"/>
    <x v="4"/>
    <x v="4"/>
    <x v="1"/>
    <n v="34"/>
    <x v="0"/>
    <s v="Millennials"/>
    <x v="1"/>
  </r>
  <r>
    <n v="11061"/>
    <x v="0"/>
    <x v="1"/>
    <n v="70000"/>
    <x v="4"/>
    <x v="1"/>
    <s v="Skilled Manual"/>
    <x v="0"/>
    <x v="2"/>
    <x v="2"/>
    <x v="1"/>
    <n v="52"/>
    <x v="2"/>
    <s v="Middle Age"/>
    <x v="1"/>
  </r>
  <r>
    <n v="26651"/>
    <x v="1"/>
    <x v="1"/>
    <n v="80000"/>
    <x v="5"/>
    <x v="4"/>
    <s v="Management"/>
    <x v="0"/>
    <x v="0"/>
    <x v="0"/>
    <x v="1"/>
    <n v="36"/>
    <x v="0"/>
    <s v="Millennials"/>
    <x v="1"/>
  </r>
  <r>
    <n v="21108"/>
    <x v="0"/>
    <x v="0"/>
    <n v="40000"/>
    <x v="0"/>
    <x v="0"/>
    <s v="Skilled Manual"/>
    <x v="0"/>
    <x v="1"/>
    <x v="0"/>
    <x v="0"/>
    <n v="43"/>
    <x v="0"/>
    <s v="Millennials"/>
    <x v="1"/>
  </r>
  <r>
    <n v="12731"/>
    <x v="1"/>
    <x v="1"/>
    <n v="30000"/>
    <x v="3"/>
    <x v="2"/>
    <s v="Manual"/>
    <x v="1"/>
    <x v="1"/>
    <x v="3"/>
    <x v="0"/>
    <n v="32"/>
    <x v="0"/>
    <s v="Millennials"/>
    <x v="0"/>
  </r>
  <r>
    <n v="25307"/>
    <x v="0"/>
    <x v="0"/>
    <n v="40000"/>
    <x v="0"/>
    <x v="0"/>
    <s v="Skilled Manual"/>
    <x v="0"/>
    <x v="1"/>
    <x v="3"/>
    <x v="0"/>
    <n v="32"/>
    <x v="0"/>
    <s v="Millennials"/>
    <x v="1"/>
  </r>
  <r>
    <n v="14278"/>
    <x v="0"/>
    <x v="0"/>
    <n v="130000"/>
    <x v="3"/>
    <x v="4"/>
    <s v="Management"/>
    <x v="0"/>
    <x v="1"/>
    <x v="4"/>
    <x v="1"/>
    <n v="48"/>
    <x v="2"/>
    <s v="Middle Age"/>
    <x v="0"/>
  </r>
  <r>
    <n v="20711"/>
    <x v="0"/>
    <x v="0"/>
    <n v="40000"/>
    <x v="0"/>
    <x v="0"/>
    <s v="Skilled Manual"/>
    <x v="0"/>
    <x v="0"/>
    <x v="3"/>
    <x v="0"/>
    <n v="32"/>
    <x v="0"/>
    <s v="Millennials"/>
    <x v="1"/>
  </r>
  <r>
    <n v="11383"/>
    <x v="0"/>
    <x v="0"/>
    <n v="30000"/>
    <x v="1"/>
    <x v="4"/>
    <s v="Clerical"/>
    <x v="0"/>
    <x v="0"/>
    <x v="0"/>
    <x v="0"/>
    <n v="46"/>
    <x v="2"/>
    <s v="Middle Age"/>
    <x v="0"/>
  </r>
  <r>
    <n v="12497"/>
    <x v="0"/>
    <x v="0"/>
    <n v="40000"/>
    <x v="0"/>
    <x v="0"/>
    <s v="Skilled Manual"/>
    <x v="0"/>
    <x v="0"/>
    <x v="0"/>
    <x v="0"/>
    <n v="42"/>
    <x v="0"/>
    <s v="Millennials"/>
    <x v="0"/>
  </r>
  <r>
    <n v="16559"/>
    <x v="1"/>
    <x v="0"/>
    <n v="10000"/>
    <x v="4"/>
    <x v="2"/>
    <s v="Manual"/>
    <x v="0"/>
    <x v="0"/>
    <x v="0"/>
    <x v="0"/>
    <n v="36"/>
    <x v="0"/>
    <s v="Millennials"/>
    <x v="1"/>
  </r>
  <r>
    <n v="11585"/>
    <x v="0"/>
    <x v="0"/>
    <n v="40000"/>
    <x v="0"/>
    <x v="0"/>
    <s v="Skilled Manual"/>
    <x v="0"/>
    <x v="0"/>
    <x v="0"/>
    <x v="0"/>
    <n v="41"/>
    <x v="0"/>
    <s v="Millennials"/>
    <x v="0"/>
  </r>
  <r>
    <n v="20277"/>
    <x v="0"/>
    <x v="0"/>
    <n v="30000"/>
    <x v="4"/>
    <x v="1"/>
    <s v="Clerical"/>
    <x v="1"/>
    <x v="2"/>
    <x v="0"/>
    <x v="1"/>
    <n v="69"/>
    <x v="1"/>
    <s v="Old"/>
    <x v="0"/>
  </r>
  <r>
    <n v="26765"/>
    <x v="1"/>
    <x v="0"/>
    <n v="70000"/>
    <x v="2"/>
    <x v="1"/>
    <s v="Skilled Manual"/>
    <x v="0"/>
    <x v="2"/>
    <x v="2"/>
    <x v="1"/>
    <n v="45"/>
    <x v="2"/>
    <s v="Middle Age"/>
    <x v="0"/>
  </r>
  <r>
    <n v="12389"/>
    <x v="1"/>
    <x v="1"/>
    <n v="30000"/>
    <x v="3"/>
    <x v="2"/>
    <s v="Manual"/>
    <x v="1"/>
    <x v="1"/>
    <x v="1"/>
    <x v="0"/>
    <n v="34"/>
    <x v="0"/>
    <s v="Millennials"/>
    <x v="0"/>
  </r>
  <r>
    <n v="13585"/>
    <x v="0"/>
    <x v="0"/>
    <n v="80000"/>
    <x v="5"/>
    <x v="1"/>
    <s v="Professional"/>
    <x v="1"/>
    <x v="1"/>
    <x v="1"/>
    <x v="0"/>
    <n v="53"/>
    <x v="2"/>
    <s v="Middle Age"/>
    <x v="1"/>
  </r>
  <r>
    <n v="26385"/>
    <x v="1"/>
    <x v="1"/>
    <n v="120000"/>
    <x v="1"/>
    <x v="2"/>
    <s v="Professional"/>
    <x v="1"/>
    <x v="3"/>
    <x v="2"/>
    <x v="0"/>
    <n v="50"/>
    <x v="2"/>
    <s v="Middle Age"/>
    <x v="0"/>
  </r>
  <r>
    <n v="12236"/>
    <x v="0"/>
    <x v="0"/>
    <n v="20000"/>
    <x v="0"/>
    <x v="1"/>
    <s v="Manual"/>
    <x v="0"/>
    <x v="0"/>
    <x v="0"/>
    <x v="0"/>
    <n v="65"/>
    <x v="1"/>
    <s v="Old"/>
    <x v="0"/>
  </r>
  <r>
    <n v="21560"/>
    <x v="0"/>
    <x v="1"/>
    <n v="120000"/>
    <x v="3"/>
    <x v="3"/>
    <s v="Professional"/>
    <x v="0"/>
    <x v="3"/>
    <x v="4"/>
    <x v="1"/>
    <n v="32"/>
    <x v="0"/>
    <s v="Millennials"/>
    <x v="1"/>
  </r>
  <r>
    <n v="21554"/>
    <x v="1"/>
    <x v="0"/>
    <n v="80000"/>
    <x v="3"/>
    <x v="0"/>
    <s v="Professional"/>
    <x v="1"/>
    <x v="4"/>
    <x v="4"/>
    <x v="1"/>
    <n v="33"/>
    <x v="0"/>
    <s v="Millennials"/>
    <x v="0"/>
  </r>
  <r>
    <n v="13662"/>
    <x v="1"/>
    <x v="1"/>
    <n v="20000"/>
    <x v="3"/>
    <x v="3"/>
    <s v="Manual"/>
    <x v="0"/>
    <x v="2"/>
    <x v="3"/>
    <x v="0"/>
    <n v="31"/>
    <x v="0"/>
    <s v="Millennials"/>
    <x v="1"/>
  </r>
  <r>
    <n v="13089"/>
    <x v="0"/>
    <x v="0"/>
    <n v="120000"/>
    <x v="0"/>
    <x v="0"/>
    <s v="Management"/>
    <x v="0"/>
    <x v="2"/>
    <x v="0"/>
    <x v="1"/>
    <n v="46"/>
    <x v="2"/>
    <s v="Middle Age"/>
    <x v="1"/>
  </r>
  <r>
    <n v="14791"/>
    <x v="0"/>
    <x v="0"/>
    <n v="40000"/>
    <x v="3"/>
    <x v="0"/>
    <s v="Clerical"/>
    <x v="0"/>
    <x v="0"/>
    <x v="0"/>
    <x v="0"/>
    <n v="39"/>
    <x v="0"/>
    <s v="Millennials"/>
    <x v="1"/>
  </r>
  <r>
    <n v="19331"/>
    <x v="1"/>
    <x v="1"/>
    <n v="20000"/>
    <x v="4"/>
    <x v="2"/>
    <s v="Manual"/>
    <x v="0"/>
    <x v="1"/>
    <x v="0"/>
    <x v="0"/>
    <n v="40"/>
    <x v="0"/>
    <s v="Millennials"/>
    <x v="0"/>
  </r>
  <r>
    <n v="17754"/>
    <x v="1"/>
    <x v="0"/>
    <n v="30000"/>
    <x v="1"/>
    <x v="0"/>
    <s v="Clerical"/>
    <x v="0"/>
    <x v="0"/>
    <x v="0"/>
    <x v="0"/>
    <n v="46"/>
    <x v="2"/>
    <s v="Middle Age"/>
    <x v="1"/>
  </r>
  <r>
    <n v="11149"/>
    <x v="0"/>
    <x v="1"/>
    <n v="40000"/>
    <x v="4"/>
    <x v="0"/>
    <s v="Management"/>
    <x v="0"/>
    <x v="2"/>
    <x v="0"/>
    <x v="1"/>
    <n v="65"/>
    <x v="1"/>
    <s v="Old"/>
    <x v="0"/>
  </r>
  <r>
    <n v="16549"/>
    <x v="1"/>
    <x v="0"/>
    <n v="30000"/>
    <x v="1"/>
    <x v="0"/>
    <s v="Clerical"/>
    <x v="0"/>
    <x v="0"/>
    <x v="0"/>
    <x v="0"/>
    <n v="47"/>
    <x v="2"/>
    <s v="Middle Age"/>
    <x v="1"/>
  </r>
  <r>
    <n v="24305"/>
    <x v="1"/>
    <x v="1"/>
    <n v="100000"/>
    <x v="0"/>
    <x v="0"/>
    <s v="Management"/>
    <x v="1"/>
    <x v="4"/>
    <x v="0"/>
    <x v="1"/>
    <n v="46"/>
    <x v="2"/>
    <s v="Middle Age"/>
    <x v="1"/>
  </r>
  <r>
    <n v="18253"/>
    <x v="0"/>
    <x v="0"/>
    <n v="80000"/>
    <x v="2"/>
    <x v="4"/>
    <s v="Management"/>
    <x v="0"/>
    <x v="4"/>
    <x v="0"/>
    <x v="1"/>
    <n v="40"/>
    <x v="0"/>
    <s v="Millennials"/>
    <x v="0"/>
  </r>
  <r>
    <n v="20147"/>
    <x v="0"/>
    <x v="0"/>
    <n v="30000"/>
    <x v="0"/>
    <x v="0"/>
    <s v="Clerical"/>
    <x v="0"/>
    <x v="0"/>
    <x v="0"/>
    <x v="0"/>
    <n v="65"/>
    <x v="1"/>
    <s v="Old"/>
    <x v="0"/>
  </r>
  <r>
    <n v="15612"/>
    <x v="1"/>
    <x v="1"/>
    <n v="30000"/>
    <x v="3"/>
    <x v="2"/>
    <s v="Manual"/>
    <x v="1"/>
    <x v="1"/>
    <x v="3"/>
    <x v="0"/>
    <n v="28"/>
    <x v="0"/>
    <s v="Millennials"/>
    <x v="0"/>
  </r>
  <r>
    <n v="28323"/>
    <x v="1"/>
    <x v="1"/>
    <n v="70000"/>
    <x v="3"/>
    <x v="0"/>
    <s v="Professional"/>
    <x v="1"/>
    <x v="2"/>
    <x v="2"/>
    <x v="1"/>
    <n v="43"/>
    <x v="0"/>
    <s v="Millennials"/>
    <x v="1"/>
  </r>
  <r>
    <n v="22634"/>
    <x v="1"/>
    <x v="0"/>
    <n v="40000"/>
    <x v="3"/>
    <x v="4"/>
    <s v="Clerical"/>
    <x v="0"/>
    <x v="0"/>
    <x v="0"/>
    <x v="0"/>
    <n v="38"/>
    <x v="0"/>
    <s v="Millennials"/>
    <x v="1"/>
  </r>
  <r>
    <n v="15665"/>
    <x v="0"/>
    <x v="0"/>
    <n v="30000"/>
    <x v="3"/>
    <x v="0"/>
    <s v="Clerical"/>
    <x v="0"/>
    <x v="0"/>
    <x v="0"/>
    <x v="0"/>
    <n v="47"/>
    <x v="2"/>
    <s v="Middle Age"/>
    <x v="1"/>
  </r>
  <r>
    <n v="27585"/>
    <x v="0"/>
    <x v="0"/>
    <n v="90000"/>
    <x v="4"/>
    <x v="0"/>
    <s v="Professional"/>
    <x v="1"/>
    <x v="0"/>
    <x v="0"/>
    <x v="1"/>
    <n v="36"/>
    <x v="0"/>
    <s v="Millennials"/>
    <x v="1"/>
  </r>
  <r>
    <n v="19748"/>
    <x v="0"/>
    <x v="1"/>
    <n v="20000"/>
    <x v="5"/>
    <x v="2"/>
    <s v="Skilled Manual"/>
    <x v="1"/>
    <x v="2"/>
    <x v="3"/>
    <x v="1"/>
    <n v="60"/>
    <x v="1"/>
    <s v="Old"/>
    <x v="0"/>
  </r>
  <r>
    <n v="21974"/>
    <x v="1"/>
    <x v="0"/>
    <n v="70000"/>
    <x v="3"/>
    <x v="0"/>
    <s v="Professional"/>
    <x v="0"/>
    <x v="1"/>
    <x v="2"/>
    <x v="1"/>
    <n v="42"/>
    <x v="0"/>
    <s v="Millennials"/>
    <x v="1"/>
  </r>
  <r>
    <n v="14032"/>
    <x v="0"/>
    <x v="1"/>
    <n v="70000"/>
    <x v="4"/>
    <x v="2"/>
    <s v="Skilled Manual"/>
    <x v="1"/>
    <x v="2"/>
    <x v="3"/>
    <x v="1"/>
    <n v="50"/>
    <x v="2"/>
    <s v="Middle Age"/>
    <x v="1"/>
  </r>
  <r>
    <n v="22610"/>
    <x v="0"/>
    <x v="1"/>
    <n v="30000"/>
    <x v="3"/>
    <x v="0"/>
    <s v="Clerical"/>
    <x v="0"/>
    <x v="0"/>
    <x v="0"/>
    <x v="0"/>
    <n v="35"/>
    <x v="0"/>
    <s v="Millennials"/>
    <x v="1"/>
  </r>
  <r>
    <n v="26984"/>
    <x v="0"/>
    <x v="1"/>
    <n v="40000"/>
    <x v="0"/>
    <x v="0"/>
    <s v="Skilled Manual"/>
    <x v="0"/>
    <x v="1"/>
    <x v="0"/>
    <x v="0"/>
    <n v="32"/>
    <x v="0"/>
    <s v="Millennials"/>
    <x v="1"/>
  </r>
  <r>
    <n v="18294"/>
    <x v="0"/>
    <x v="0"/>
    <n v="90000"/>
    <x v="0"/>
    <x v="0"/>
    <s v="Professional"/>
    <x v="0"/>
    <x v="1"/>
    <x v="2"/>
    <x v="1"/>
    <n v="46"/>
    <x v="2"/>
    <s v="Middle Age"/>
    <x v="0"/>
  </r>
  <r>
    <n v="28564"/>
    <x v="1"/>
    <x v="0"/>
    <n v="40000"/>
    <x v="4"/>
    <x v="1"/>
    <s v="Clerical"/>
    <x v="0"/>
    <x v="0"/>
    <x v="3"/>
    <x v="0"/>
    <n v="33"/>
    <x v="0"/>
    <s v="Millennials"/>
    <x v="1"/>
  </r>
  <r>
    <n v="28521"/>
    <x v="1"/>
    <x v="1"/>
    <n v="40000"/>
    <x v="3"/>
    <x v="4"/>
    <s v="Clerical"/>
    <x v="1"/>
    <x v="0"/>
    <x v="0"/>
    <x v="0"/>
    <n v="36"/>
    <x v="0"/>
    <s v="Millennials"/>
    <x v="1"/>
  </r>
  <r>
    <n v="15450"/>
    <x v="0"/>
    <x v="1"/>
    <n v="10000"/>
    <x v="0"/>
    <x v="4"/>
    <s v="Clerical"/>
    <x v="0"/>
    <x v="0"/>
    <x v="0"/>
    <x v="0"/>
    <n v="70"/>
    <x v="1"/>
    <s v="Old"/>
    <x v="0"/>
  </r>
  <r>
    <n v="25681"/>
    <x v="1"/>
    <x v="0"/>
    <n v="30000"/>
    <x v="3"/>
    <x v="1"/>
    <s v="Clerical"/>
    <x v="1"/>
    <x v="1"/>
    <x v="1"/>
    <x v="0"/>
    <n v="31"/>
    <x v="0"/>
    <s v="Millennials"/>
    <x v="1"/>
  </r>
  <r>
    <n v="19491"/>
    <x v="1"/>
    <x v="1"/>
    <n v="30000"/>
    <x v="4"/>
    <x v="1"/>
    <s v="Clerical"/>
    <x v="0"/>
    <x v="2"/>
    <x v="0"/>
    <x v="0"/>
    <n v="42"/>
    <x v="0"/>
    <s v="Millennials"/>
    <x v="0"/>
  </r>
  <r>
    <n v="26415"/>
    <x v="0"/>
    <x v="0"/>
    <n v="90000"/>
    <x v="5"/>
    <x v="3"/>
    <s v="Skilled Manual"/>
    <x v="0"/>
    <x v="3"/>
    <x v="4"/>
    <x v="0"/>
    <n v="58"/>
    <x v="1"/>
    <s v="Old"/>
    <x v="0"/>
  </r>
  <r>
    <n v="12821"/>
    <x v="0"/>
    <x v="1"/>
    <n v="40000"/>
    <x v="3"/>
    <x v="0"/>
    <s v="Clerical"/>
    <x v="0"/>
    <x v="0"/>
    <x v="0"/>
    <x v="0"/>
    <n v="39"/>
    <x v="0"/>
    <s v="Millennials"/>
    <x v="0"/>
  </r>
  <r>
    <n v="15629"/>
    <x v="1"/>
    <x v="0"/>
    <n v="10000"/>
    <x v="3"/>
    <x v="3"/>
    <s v="Manual"/>
    <x v="0"/>
    <x v="2"/>
    <x v="3"/>
    <x v="0"/>
    <n v="34"/>
    <x v="0"/>
    <s v="Millennials"/>
    <x v="0"/>
  </r>
  <r>
    <n v="27835"/>
    <x v="0"/>
    <x v="1"/>
    <n v="20000"/>
    <x v="3"/>
    <x v="3"/>
    <s v="Manual"/>
    <x v="0"/>
    <x v="2"/>
    <x v="0"/>
    <x v="0"/>
    <n v="32"/>
    <x v="0"/>
    <s v="Millennials"/>
    <x v="0"/>
  </r>
  <r>
    <n v="11738"/>
    <x v="0"/>
    <x v="1"/>
    <n v="60000"/>
    <x v="5"/>
    <x v="0"/>
    <s v="Professional"/>
    <x v="0"/>
    <x v="0"/>
    <x v="1"/>
    <x v="2"/>
    <n v="46"/>
    <x v="2"/>
    <s v="Middle Age"/>
    <x v="0"/>
  </r>
  <r>
    <n v="25065"/>
    <x v="0"/>
    <x v="1"/>
    <n v="70000"/>
    <x v="4"/>
    <x v="3"/>
    <s v="Skilled Manual"/>
    <x v="0"/>
    <x v="2"/>
    <x v="2"/>
    <x v="2"/>
    <n v="48"/>
    <x v="2"/>
    <s v="Middle Age"/>
    <x v="0"/>
  </r>
  <r>
    <n v="26238"/>
    <x v="1"/>
    <x v="0"/>
    <n v="40000"/>
    <x v="1"/>
    <x v="1"/>
    <s v="Clerical"/>
    <x v="0"/>
    <x v="1"/>
    <x v="3"/>
    <x v="2"/>
    <n v="31"/>
    <x v="0"/>
    <s v="Millennials"/>
    <x v="1"/>
  </r>
  <r>
    <n v="23707"/>
    <x v="1"/>
    <x v="1"/>
    <n v="70000"/>
    <x v="2"/>
    <x v="0"/>
    <s v="Management"/>
    <x v="0"/>
    <x v="4"/>
    <x v="4"/>
    <x v="2"/>
    <n v="60"/>
    <x v="1"/>
    <s v="Old"/>
    <x v="1"/>
  </r>
  <r>
    <n v="27650"/>
    <x v="0"/>
    <x v="1"/>
    <n v="70000"/>
    <x v="5"/>
    <x v="2"/>
    <s v="Professional"/>
    <x v="0"/>
    <x v="0"/>
    <x v="2"/>
    <x v="2"/>
    <n v="51"/>
    <x v="2"/>
    <s v="Middle Age"/>
    <x v="0"/>
  </r>
  <r>
    <n v="24981"/>
    <x v="0"/>
    <x v="1"/>
    <n v="60000"/>
    <x v="4"/>
    <x v="1"/>
    <s v="Professional"/>
    <x v="0"/>
    <x v="2"/>
    <x v="4"/>
    <x v="2"/>
    <n v="56"/>
    <x v="1"/>
    <s v="Old"/>
    <x v="0"/>
  </r>
  <r>
    <n v="20678"/>
    <x v="1"/>
    <x v="0"/>
    <n v="60000"/>
    <x v="1"/>
    <x v="0"/>
    <s v="Skilled Manual"/>
    <x v="0"/>
    <x v="1"/>
    <x v="1"/>
    <x v="2"/>
    <n v="40"/>
    <x v="0"/>
    <s v="Millennials"/>
    <x v="1"/>
  </r>
  <r>
    <n v="15302"/>
    <x v="1"/>
    <x v="0"/>
    <n v="70000"/>
    <x v="0"/>
    <x v="4"/>
    <s v="Professional"/>
    <x v="0"/>
    <x v="0"/>
    <x v="1"/>
    <x v="2"/>
    <n v="34"/>
    <x v="0"/>
    <s v="Millennials"/>
    <x v="1"/>
  </r>
  <r>
    <n v="26012"/>
    <x v="0"/>
    <x v="1"/>
    <n v="80000"/>
    <x v="0"/>
    <x v="1"/>
    <s v="Skilled Manual"/>
    <x v="0"/>
    <x v="1"/>
    <x v="1"/>
    <x v="2"/>
    <n v="48"/>
    <x v="2"/>
    <s v="Middle Age"/>
    <x v="1"/>
  </r>
  <r>
    <n v="26575"/>
    <x v="1"/>
    <x v="0"/>
    <n v="40000"/>
    <x v="3"/>
    <x v="2"/>
    <s v="Skilled Manual"/>
    <x v="1"/>
    <x v="2"/>
    <x v="3"/>
    <x v="2"/>
    <n v="31"/>
    <x v="0"/>
    <s v="Millennials"/>
    <x v="1"/>
  </r>
  <r>
    <n v="15559"/>
    <x v="0"/>
    <x v="1"/>
    <n v="60000"/>
    <x v="2"/>
    <x v="0"/>
    <s v="Professional"/>
    <x v="0"/>
    <x v="1"/>
    <x v="1"/>
    <x v="2"/>
    <n v="47"/>
    <x v="2"/>
    <s v="Middle Age"/>
    <x v="0"/>
  </r>
  <r>
    <n v="19235"/>
    <x v="0"/>
    <x v="0"/>
    <n v="50000"/>
    <x v="3"/>
    <x v="4"/>
    <s v="Skilled Manual"/>
    <x v="0"/>
    <x v="0"/>
    <x v="0"/>
    <x v="2"/>
    <n v="34"/>
    <x v="0"/>
    <s v="Millennials"/>
    <x v="0"/>
  </r>
  <r>
    <n v="15275"/>
    <x v="0"/>
    <x v="1"/>
    <n v="40000"/>
    <x v="3"/>
    <x v="1"/>
    <s v="Skilled Manual"/>
    <x v="0"/>
    <x v="1"/>
    <x v="2"/>
    <x v="2"/>
    <n v="29"/>
    <x v="0"/>
    <s v="Millennials"/>
    <x v="0"/>
  </r>
  <r>
    <n v="20339"/>
    <x v="0"/>
    <x v="0"/>
    <n v="130000"/>
    <x v="0"/>
    <x v="0"/>
    <s v="Management"/>
    <x v="0"/>
    <x v="3"/>
    <x v="1"/>
    <x v="2"/>
    <n v="44"/>
    <x v="0"/>
    <s v="Millennials"/>
    <x v="1"/>
  </r>
  <r>
    <n v="25405"/>
    <x v="0"/>
    <x v="1"/>
    <n v="70000"/>
    <x v="4"/>
    <x v="0"/>
    <s v="Skilled Manual"/>
    <x v="0"/>
    <x v="1"/>
    <x v="1"/>
    <x v="2"/>
    <n v="38"/>
    <x v="0"/>
    <s v="Millennials"/>
    <x v="1"/>
  </r>
  <r>
    <n v="15940"/>
    <x v="0"/>
    <x v="1"/>
    <n v="100000"/>
    <x v="5"/>
    <x v="1"/>
    <s v="Professional"/>
    <x v="0"/>
    <x v="3"/>
    <x v="0"/>
    <x v="2"/>
    <n v="40"/>
    <x v="0"/>
    <s v="Millennials"/>
    <x v="0"/>
  </r>
  <r>
    <n v="25074"/>
    <x v="0"/>
    <x v="0"/>
    <n v="70000"/>
    <x v="5"/>
    <x v="0"/>
    <s v="Professional"/>
    <x v="0"/>
    <x v="2"/>
    <x v="1"/>
    <x v="2"/>
    <n v="42"/>
    <x v="0"/>
    <s v="Millennials"/>
    <x v="1"/>
  </r>
  <r>
    <n v="24738"/>
    <x v="0"/>
    <x v="0"/>
    <n v="40000"/>
    <x v="0"/>
    <x v="1"/>
    <s v="Clerical"/>
    <x v="0"/>
    <x v="1"/>
    <x v="3"/>
    <x v="2"/>
    <n v="51"/>
    <x v="2"/>
    <s v="Middle Age"/>
    <x v="1"/>
  </r>
  <r>
    <n v="16337"/>
    <x v="0"/>
    <x v="1"/>
    <n v="60000"/>
    <x v="3"/>
    <x v="1"/>
    <s v="Skilled Manual"/>
    <x v="1"/>
    <x v="2"/>
    <x v="3"/>
    <x v="2"/>
    <n v="29"/>
    <x v="0"/>
    <s v="Millennials"/>
    <x v="0"/>
  </r>
  <r>
    <n v="24357"/>
    <x v="0"/>
    <x v="1"/>
    <n v="80000"/>
    <x v="1"/>
    <x v="0"/>
    <s v="Professional"/>
    <x v="0"/>
    <x v="1"/>
    <x v="1"/>
    <x v="2"/>
    <n v="48"/>
    <x v="2"/>
    <s v="Middle Age"/>
    <x v="1"/>
  </r>
  <r>
    <n v="18613"/>
    <x v="1"/>
    <x v="1"/>
    <n v="70000"/>
    <x v="3"/>
    <x v="0"/>
    <s v="Professional"/>
    <x v="1"/>
    <x v="1"/>
    <x v="1"/>
    <x v="2"/>
    <n v="37"/>
    <x v="0"/>
    <s v="Millennials"/>
    <x v="1"/>
  </r>
  <r>
    <n v="12207"/>
    <x v="1"/>
    <x v="1"/>
    <n v="80000"/>
    <x v="5"/>
    <x v="0"/>
    <s v="Management"/>
    <x v="0"/>
    <x v="0"/>
    <x v="2"/>
    <x v="2"/>
    <n v="66"/>
    <x v="1"/>
    <s v="Old"/>
    <x v="1"/>
  </r>
  <r>
    <n v="18052"/>
    <x v="0"/>
    <x v="0"/>
    <n v="60000"/>
    <x v="0"/>
    <x v="1"/>
    <s v="Skilled Manual"/>
    <x v="0"/>
    <x v="1"/>
    <x v="0"/>
    <x v="2"/>
    <n v="45"/>
    <x v="2"/>
    <s v="Middle Age"/>
    <x v="1"/>
  </r>
  <r>
    <n v="13353"/>
    <x v="1"/>
    <x v="0"/>
    <n v="60000"/>
    <x v="5"/>
    <x v="4"/>
    <s v="Management"/>
    <x v="0"/>
    <x v="2"/>
    <x v="4"/>
    <x v="2"/>
    <n v="61"/>
    <x v="1"/>
    <s v="Old"/>
    <x v="1"/>
  </r>
  <r>
    <n v="19399"/>
    <x v="1"/>
    <x v="1"/>
    <n v="40000"/>
    <x v="3"/>
    <x v="0"/>
    <s v="Professional"/>
    <x v="1"/>
    <x v="1"/>
    <x v="1"/>
    <x v="2"/>
    <n v="45"/>
    <x v="2"/>
    <s v="Middle Age"/>
    <x v="0"/>
  </r>
  <r>
    <n v="16154"/>
    <x v="0"/>
    <x v="0"/>
    <n v="70000"/>
    <x v="2"/>
    <x v="0"/>
    <s v="Professional"/>
    <x v="0"/>
    <x v="2"/>
    <x v="1"/>
    <x v="2"/>
    <n v="47"/>
    <x v="2"/>
    <s v="Middle Age"/>
    <x v="0"/>
  </r>
  <r>
    <n v="22219"/>
    <x v="0"/>
    <x v="0"/>
    <n v="60000"/>
    <x v="4"/>
    <x v="2"/>
    <s v="Professional"/>
    <x v="0"/>
    <x v="2"/>
    <x v="2"/>
    <x v="2"/>
    <n v="49"/>
    <x v="2"/>
    <s v="Middle Age"/>
    <x v="0"/>
  </r>
  <r>
    <n v="17269"/>
    <x v="1"/>
    <x v="1"/>
    <n v="60000"/>
    <x v="1"/>
    <x v="0"/>
    <s v="Professional"/>
    <x v="1"/>
    <x v="0"/>
    <x v="0"/>
    <x v="2"/>
    <n v="47"/>
    <x v="2"/>
    <s v="Middle Age"/>
    <x v="1"/>
  </r>
  <r>
    <n v="23586"/>
    <x v="0"/>
    <x v="0"/>
    <n v="80000"/>
    <x v="3"/>
    <x v="0"/>
    <s v="Management"/>
    <x v="0"/>
    <x v="1"/>
    <x v="3"/>
    <x v="2"/>
    <n v="34"/>
    <x v="0"/>
    <s v="Millennials"/>
    <x v="1"/>
  </r>
  <r>
    <n v="15740"/>
    <x v="0"/>
    <x v="1"/>
    <n v="80000"/>
    <x v="2"/>
    <x v="0"/>
    <s v="Management"/>
    <x v="0"/>
    <x v="2"/>
    <x v="3"/>
    <x v="2"/>
    <n v="64"/>
    <x v="1"/>
    <s v="Old"/>
    <x v="0"/>
  </r>
  <r>
    <n v="27638"/>
    <x v="1"/>
    <x v="1"/>
    <n v="100000"/>
    <x v="0"/>
    <x v="1"/>
    <s v="Professional"/>
    <x v="1"/>
    <x v="4"/>
    <x v="3"/>
    <x v="2"/>
    <n v="44"/>
    <x v="0"/>
    <s v="Millennials"/>
    <x v="0"/>
  </r>
  <r>
    <n v="18976"/>
    <x v="1"/>
    <x v="1"/>
    <n v="40000"/>
    <x v="5"/>
    <x v="2"/>
    <s v="Professional"/>
    <x v="0"/>
    <x v="2"/>
    <x v="4"/>
    <x v="2"/>
    <n v="62"/>
    <x v="1"/>
    <s v="Old"/>
    <x v="1"/>
  </r>
  <r>
    <n v="19413"/>
    <x v="1"/>
    <x v="1"/>
    <n v="60000"/>
    <x v="1"/>
    <x v="0"/>
    <s v="Professional"/>
    <x v="1"/>
    <x v="1"/>
    <x v="0"/>
    <x v="2"/>
    <n v="47"/>
    <x v="2"/>
    <s v="Middle Age"/>
    <x v="1"/>
  </r>
  <r>
    <n v="13283"/>
    <x v="0"/>
    <x v="1"/>
    <n v="80000"/>
    <x v="1"/>
    <x v="1"/>
    <s v="Professional"/>
    <x v="1"/>
    <x v="2"/>
    <x v="0"/>
    <x v="2"/>
    <n v="49"/>
    <x v="2"/>
    <s v="Middle Age"/>
    <x v="1"/>
  </r>
  <r>
    <n v="17471"/>
    <x v="1"/>
    <x v="0"/>
    <n v="80000"/>
    <x v="5"/>
    <x v="4"/>
    <s v="Management"/>
    <x v="0"/>
    <x v="2"/>
    <x v="2"/>
    <x v="2"/>
    <n v="67"/>
    <x v="1"/>
    <s v="Old"/>
    <x v="0"/>
  </r>
  <r>
    <n v="16791"/>
    <x v="1"/>
    <x v="1"/>
    <n v="60000"/>
    <x v="2"/>
    <x v="0"/>
    <s v="Management"/>
    <x v="0"/>
    <x v="4"/>
    <x v="4"/>
    <x v="2"/>
    <n v="59"/>
    <x v="1"/>
    <s v="Old"/>
    <x v="1"/>
  </r>
  <r>
    <n v="15382"/>
    <x v="0"/>
    <x v="0"/>
    <n v="110000"/>
    <x v="0"/>
    <x v="0"/>
    <s v="Management"/>
    <x v="0"/>
    <x v="2"/>
    <x v="3"/>
    <x v="2"/>
    <n v="44"/>
    <x v="0"/>
    <s v="Millennials"/>
    <x v="0"/>
  </r>
  <r>
    <n v="11641"/>
    <x v="0"/>
    <x v="1"/>
    <n v="50000"/>
    <x v="0"/>
    <x v="0"/>
    <s v="Skilled Manual"/>
    <x v="0"/>
    <x v="0"/>
    <x v="0"/>
    <x v="2"/>
    <n v="36"/>
    <x v="0"/>
    <s v="Millennials"/>
    <x v="0"/>
  </r>
  <r>
    <n v="11935"/>
    <x v="1"/>
    <x v="0"/>
    <n v="30000"/>
    <x v="3"/>
    <x v="1"/>
    <s v="Skilled Manual"/>
    <x v="0"/>
    <x v="1"/>
    <x v="2"/>
    <x v="2"/>
    <n v="28"/>
    <x v="0"/>
    <s v="Millennials"/>
    <x v="0"/>
  </r>
  <r>
    <n v="13233"/>
    <x v="0"/>
    <x v="1"/>
    <n v="60000"/>
    <x v="4"/>
    <x v="1"/>
    <s v="Professional"/>
    <x v="0"/>
    <x v="1"/>
    <x v="4"/>
    <x v="2"/>
    <n v="57"/>
    <x v="1"/>
    <s v="Old"/>
    <x v="1"/>
  </r>
  <r>
    <n v="25909"/>
    <x v="0"/>
    <x v="1"/>
    <n v="60000"/>
    <x v="3"/>
    <x v="1"/>
    <s v="Skilled Manual"/>
    <x v="0"/>
    <x v="1"/>
    <x v="2"/>
    <x v="2"/>
    <n v="27"/>
    <x v="0"/>
    <s v="Millennials"/>
    <x v="1"/>
  </r>
  <r>
    <n v="14092"/>
    <x v="1"/>
    <x v="1"/>
    <n v="30000"/>
    <x v="3"/>
    <x v="3"/>
    <s v="Clerical"/>
    <x v="0"/>
    <x v="2"/>
    <x v="2"/>
    <x v="2"/>
    <n v="28"/>
    <x v="0"/>
    <s v="Millennials"/>
    <x v="0"/>
  </r>
  <r>
    <n v="29143"/>
    <x v="1"/>
    <x v="0"/>
    <n v="60000"/>
    <x v="0"/>
    <x v="0"/>
    <s v="Professional"/>
    <x v="1"/>
    <x v="1"/>
    <x v="0"/>
    <x v="2"/>
    <n v="44"/>
    <x v="0"/>
    <s v="Millennials"/>
    <x v="1"/>
  </r>
  <r>
    <n v="24941"/>
    <x v="0"/>
    <x v="1"/>
    <n v="60000"/>
    <x v="1"/>
    <x v="0"/>
    <s v="Management"/>
    <x v="0"/>
    <x v="2"/>
    <x v="4"/>
    <x v="2"/>
    <n v="66"/>
    <x v="1"/>
    <s v="Old"/>
    <x v="0"/>
  </r>
  <r>
    <n v="24637"/>
    <x v="0"/>
    <x v="1"/>
    <n v="40000"/>
    <x v="5"/>
    <x v="2"/>
    <s v="Professional"/>
    <x v="0"/>
    <x v="2"/>
    <x v="4"/>
    <x v="2"/>
    <n v="64"/>
    <x v="1"/>
    <s v="Old"/>
    <x v="0"/>
  </r>
  <r>
    <n v="23893"/>
    <x v="0"/>
    <x v="1"/>
    <n v="50000"/>
    <x v="1"/>
    <x v="0"/>
    <s v="Skilled Manual"/>
    <x v="0"/>
    <x v="4"/>
    <x v="4"/>
    <x v="2"/>
    <n v="41"/>
    <x v="0"/>
    <s v="Millennials"/>
    <x v="0"/>
  </r>
  <r>
    <n v="13907"/>
    <x v="1"/>
    <x v="0"/>
    <n v="80000"/>
    <x v="1"/>
    <x v="0"/>
    <s v="Skilled Manual"/>
    <x v="0"/>
    <x v="1"/>
    <x v="0"/>
    <x v="2"/>
    <n v="41"/>
    <x v="0"/>
    <s v="Millennials"/>
    <x v="1"/>
  </r>
  <r>
    <n v="14900"/>
    <x v="0"/>
    <x v="0"/>
    <n v="40000"/>
    <x v="0"/>
    <x v="1"/>
    <s v="Clerical"/>
    <x v="0"/>
    <x v="1"/>
    <x v="3"/>
    <x v="2"/>
    <n v="49"/>
    <x v="2"/>
    <s v="Middle Age"/>
    <x v="1"/>
  </r>
  <r>
    <n v="11262"/>
    <x v="0"/>
    <x v="0"/>
    <n v="80000"/>
    <x v="5"/>
    <x v="0"/>
    <s v="Management"/>
    <x v="0"/>
    <x v="0"/>
    <x v="0"/>
    <x v="2"/>
    <n v="42"/>
    <x v="0"/>
    <s v="Millennials"/>
    <x v="0"/>
  </r>
  <r>
    <n v="22294"/>
    <x v="1"/>
    <x v="0"/>
    <n v="70000"/>
    <x v="3"/>
    <x v="0"/>
    <s v="Professional"/>
    <x v="1"/>
    <x v="1"/>
    <x v="1"/>
    <x v="2"/>
    <n v="37"/>
    <x v="0"/>
    <s v="Millennials"/>
    <x v="1"/>
  </r>
  <r>
    <n v="12195"/>
    <x v="1"/>
    <x v="0"/>
    <n v="70000"/>
    <x v="1"/>
    <x v="4"/>
    <s v="Management"/>
    <x v="0"/>
    <x v="2"/>
    <x v="3"/>
    <x v="2"/>
    <n v="52"/>
    <x v="2"/>
    <s v="Middle Age"/>
    <x v="0"/>
  </r>
  <r>
    <n v="25375"/>
    <x v="0"/>
    <x v="1"/>
    <n v="50000"/>
    <x v="0"/>
    <x v="4"/>
    <s v="Skilled Manual"/>
    <x v="0"/>
    <x v="0"/>
    <x v="3"/>
    <x v="2"/>
    <n v="34"/>
    <x v="0"/>
    <s v="Millennials"/>
    <x v="0"/>
  </r>
  <r>
    <n v="11143"/>
    <x v="0"/>
    <x v="1"/>
    <n v="40000"/>
    <x v="3"/>
    <x v="2"/>
    <s v="Skilled Manual"/>
    <x v="0"/>
    <x v="2"/>
    <x v="2"/>
    <x v="2"/>
    <n v="29"/>
    <x v="0"/>
    <s v="Millennials"/>
    <x v="0"/>
  </r>
  <r>
    <n v="25898"/>
    <x v="0"/>
    <x v="0"/>
    <n v="70000"/>
    <x v="4"/>
    <x v="2"/>
    <s v="Professional"/>
    <x v="0"/>
    <x v="2"/>
    <x v="1"/>
    <x v="2"/>
    <n v="53"/>
    <x v="2"/>
    <s v="Middle Age"/>
    <x v="0"/>
  </r>
  <r>
    <n v="24397"/>
    <x v="1"/>
    <x v="1"/>
    <n v="120000"/>
    <x v="4"/>
    <x v="0"/>
    <s v="Management"/>
    <x v="1"/>
    <x v="3"/>
    <x v="3"/>
    <x v="2"/>
    <n v="40"/>
    <x v="0"/>
    <s v="Millennials"/>
    <x v="0"/>
  </r>
  <r>
    <n v="19758"/>
    <x v="1"/>
    <x v="1"/>
    <n v="60000"/>
    <x v="3"/>
    <x v="1"/>
    <s v="Skilled Manual"/>
    <x v="1"/>
    <x v="2"/>
    <x v="3"/>
    <x v="2"/>
    <n v="29"/>
    <x v="0"/>
    <s v="Millennials"/>
    <x v="0"/>
  </r>
  <r>
    <n v="15529"/>
    <x v="0"/>
    <x v="1"/>
    <n v="60000"/>
    <x v="5"/>
    <x v="0"/>
    <s v="Professional"/>
    <x v="0"/>
    <x v="2"/>
    <x v="1"/>
    <x v="2"/>
    <n v="43"/>
    <x v="0"/>
    <s v="Millennials"/>
    <x v="1"/>
  </r>
  <r>
    <n v="19884"/>
    <x v="0"/>
    <x v="1"/>
    <n v="60000"/>
    <x v="4"/>
    <x v="2"/>
    <s v="Professional"/>
    <x v="0"/>
    <x v="2"/>
    <x v="1"/>
    <x v="2"/>
    <n v="55"/>
    <x v="3"/>
    <s v="Late Middle Age"/>
    <x v="1"/>
  </r>
  <r>
    <n v="18674"/>
    <x v="1"/>
    <x v="0"/>
    <n v="80000"/>
    <x v="5"/>
    <x v="4"/>
    <s v="Skilled Manual"/>
    <x v="1"/>
    <x v="0"/>
    <x v="0"/>
    <x v="2"/>
    <n v="48"/>
    <x v="2"/>
    <s v="Middle Age"/>
    <x v="0"/>
  </r>
  <r>
    <n v="13453"/>
    <x v="0"/>
    <x v="0"/>
    <n v="130000"/>
    <x v="1"/>
    <x v="0"/>
    <s v="Management"/>
    <x v="0"/>
    <x v="4"/>
    <x v="0"/>
    <x v="2"/>
    <n v="45"/>
    <x v="2"/>
    <s v="Middle Age"/>
    <x v="1"/>
  </r>
  <r>
    <n v="14063"/>
    <x v="1"/>
    <x v="0"/>
    <n v="70000"/>
    <x v="3"/>
    <x v="0"/>
    <s v="Professional"/>
    <x v="1"/>
    <x v="1"/>
    <x v="0"/>
    <x v="1"/>
    <n v="42"/>
    <x v="0"/>
    <s v="Millennials"/>
    <x v="1"/>
  </r>
  <r>
    <n v="27393"/>
    <x v="0"/>
    <x v="0"/>
    <n v="50000"/>
    <x v="5"/>
    <x v="0"/>
    <s v="Management"/>
    <x v="0"/>
    <x v="2"/>
    <x v="4"/>
    <x v="2"/>
    <n v="63"/>
    <x v="1"/>
    <s v="Old"/>
    <x v="0"/>
  </r>
  <r>
    <n v="14417"/>
    <x v="1"/>
    <x v="1"/>
    <n v="60000"/>
    <x v="1"/>
    <x v="2"/>
    <s v="Professional"/>
    <x v="0"/>
    <x v="2"/>
    <x v="4"/>
    <x v="2"/>
    <n v="54"/>
    <x v="2"/>
    <s v="Middle Age"/>
    <x v="1"/>
  </r>
  <r>
    <n v="17533"/>
    <x v="0"/>
    <x v="1"/>
    <n v="40000"/>
    <x v="1"/>
    <x v="1"/>
    <s v="Professional"/>
    <x v="1"/>
    <x v="2"/>
    <x v="2"/>
    <x v="2"/>
    <n v="73"/>
    <x v="1"/>
    <s v="Old"/>
    <x v="1"/>
  </r>
  <r>
    <n v="18580"/>
    <x v="0"/>
    <x v="0"/>
    <n v="60000"/>
    <x v="4"/>
    <x v="4"/>
    <s v="Professional"/>
    <x v="0"/>
    <x v="0"/>
    <x v="1"/>
    <x v="2"/>
    <n v="40"/>
    <x v="0"/>
    <s v="Millennials"/>
    <x v="1"/>
  </r>
  <r>
    <n v="17025"/>
    <x v="1"/>
    <x v="1"/>
    <n v="50000"/>
    <x v="3"/>
    <x v="1"/>
    <s v="Skilled Manual"/>
    <x v="1"/>
    <x v="1"/>
    <x v="1"/>
    <x v="2"/>
    <n v="39"/>
    <x v="0"/>
    <s v="Millennials"/>
    <x v="1"/>
  </r>
  <r>
    <n v="25293"/>
    <x v="0"/>
    <x v="1"/>
    <n v="80000"/>
    <x v="5"/>
    <x v="0"/>
    <s v="Management"/>
    <x v="0"/>
    <x v="0"/>
    <x v="3"/>
    <x v="2"/>
    <n v="42"/>
    <x v="0"/>
    <s v="Millennials"/>
    <x v="0"/>
  </r>
  <r>
    <n v="24725"/>
    <x v="0"/>
    <x v="0"/>
    <n v="40000"/>
    <x v="1"/>
    <x v="1"/>
    <s v="Clerical"/>
    <x v="0"/>
    <x v="0"/>
    <x v="3"/>
    <x v="2"/>
    <n v="31"/>
    <x v="0"/>
    <s v="Millennials"/>
    <x v="0"/>
  </r>
  <r>
    <n v="23200"/>
    <x v="0"/>
    <x v="0"/>
    <n v="50000"/>
    <x v="1"/>
    <x v="0"/>
    <s v="Skilled Manual"/>
    <x v="0"/>
    <x v="2"/>
    <x v="0"/>
    <x v="2"/>
    <n v="41"/>
    <x v="0"/>
    <s v="Millennials"/>
    <x v="0"/>
  </r>
  <r>
    <n v="15895"/>
    <x v="1"/>
    <x v="0"/>
    <n v="60000"/>
    <x v="4"/>
    <x v="0"/>
    <s v="Management"/>
    <x v="0"/>
    <x v="0"/>
    <x v="4"/>
    <x v="2"/>
    <n v="58"/>
    <x v="1"/>
    <s v="Old"/>
    <x v="0"/>
  </r>
  <r>
    <n v="18577"/>
    <x v="0"/>
    <x v="0"/>
    <n v="60000"/>
    <x v="3"/>
    <x v="4"/>
    <s v="Professional"/>
    <x v="0"/>
    <x v="0"/>
    <x v="0"/>
    <x v="2"/>
    <n v="40"/>
    <x v="0"/>
    <s v="Millennials"/>
    <x v="0"/>
  </r>
  <r>
    <n v="27218"/>
    <x v="0"/>
    <x v="0"/>
    <n v="20000"/>
    <x v="4"/>
    <x v="3"/>
    <s v="Clerical"/>
    <x v="1"/>
    <x v="0"/>
    <x v="0"/>
    <x v="2"/>
    <n v="48"/>
    <x v="2"/>
    <s v="Middle Age"/>
    <x v="0"/>
  </r>
  <r>
    <n v="18560"/>
    <x v="0"/>
    <x v="0"/>
    <n v="70000"/>
    <x v="4"/>
    <x v="4"/>
    <s v="Professional"/>
    <x v="0"/>
    <x v="0"/>
    <x v="1"/>
    <x v="2"/>
    <n v="34"/>
    <x v="0"/>
    <s v="Millennials"/>
    <x v="1"/>
  </r>
  <r>
    <n v="25006"/>
    <x v="1"/>
    <x v="0"/>
    <n v="30000"/>
    <x v="3"/>
    <x v="1"/>
    <s v="Skilled Manual"/>
    <x v="0"/>
    <x v="1"/>
    <x v="2"/>
    <x v="2"/>
    <n v="28"/>
    <x v="0"/>
    <s v="Millennials"/>
    <x v="0"/>
  </r>
  <r>
    <n v="17369"/>
    <x v="1"/>
    <x v="1"/>
    <n v="30000"/>
    <x v="3"/>
    <x v="1"/>
    <s v="Skilled Manual"/>
    <x v="0"/>
    <x v="1"/>
    <x v="2"/>
    <x v="2"/>
    <n v="27"/>
    <x v="0"/>
    <s v="Millennials"/>
    <x v="0"/>
  </r>
  <r>
    <n v="14495"/>
    <x v="0"/>
    <x v="1"/>
    <n v="40000"/>
    <x v="1"/>
    <x v="1"/>
    <s v="Professional"/>
    <x v="1"/>
    <x v="2"/>
    <x v="2"/>
    <x v="2"/>
    <n v="54"/>
    <x v="2"/>
    <s v="Middle Age"/>
    <x v="1"/>
  </r>
  <r>
    <n v="18847"/>
    <x v="0"/>
    <x v="0"/>
    <n v="60000"/>
    <x v="4"/>
    <x v="4"/>
    <s v="Management"/>
    <x v="0"/>
    <x v="2"/>
    <x v="2"/>
    <x v="2"/>
    <n v="70"/>
    <x v="1"/>
    <s v="Old"/>
    <x v="0"/>
  </r>
  <r>
    <n v="14754"/>
    <x v="0"/>
    <x v="1"/>
    <n v="40000"/>
    <x v="0"/>
    <x v="1"/>
    <s v="Clerical"/>
    <x v="0"/>
    <x v="1"/>
    <x v="3"/>
    <x v="2"/>
    <n v="48"/>
    <x v="2"/>
    <s v="Middle Age"/>
    <x v="1"/>
  </r>
  <r>
    <n v="23378"/>
    <x v="0"/>
    <x v="1"/>
    <n v="70000"/>
    <x v="0"/>
    <x v="1"/>
    <s v="Skilled Manual"/>
    <x v="0"/>
    <x v="1"/>
    <x v="1"/>
    <x v="2"/>
    <n v="44"/>
    <x v="0"/>
    <s v="Millennials"/>
    <x v="1"/>
  </r>
  <r>
    <n v="26452"/>
    <x v="1"/>
    <x v="1"/>
    <n v="50000"/>
    <x v="1"/>
    <x v="4"/>
    <s v="Management"/>
    <x v="0"/>
    <x v="2"/>
    <x v="4"/>
    <x v="2"/>
    <n v="69"/>
    <x v="1"/>
    <s v="Old"/>
    <x v="0"/>
  </r>
  <r>
    <n v="20370"/>
    <x v="0"/>
    <x v="1"/>
    <n v="70000"/>
    <x v="1"/>
    <x v="3"/>
    <s v="Skilled Manual"/>
    <x v="0"/>
    <x v="2"/>
    <x v="2"/>
    <x v="2"/>
    <n v="52"/>
    <x v="2"/>
    <s v="Middle Age"/>
    <x v="0"/>
  </r>
  <r>
    <n v="20528"/>
    <x v="0"/>
    <x v="1"/>
    <n v="40000"/>
    <x v="4"/>
    <x v="3"/>
    <s v="Skilled Manual"/>
    <x v="0"/>
    <x v="2"/>
    <x v="1"/>
    <x v="2"/>
    <n v="55"/>
    <x v="3"/>
    <s v="Late Middle Age"/>
    <x v="0"/>
  </r>
  <r>
    <n v="23549"/>
    <x v="1"/>
    <x v="1"/>
    <n v="30000"/>
    <x v="3"/>
    <x v="2"/>
    <s v="Skilled Manual"/>
    <x v="0"/>
    <x v="2"/>
    <x v="2"/>
    <x v="2"/>
    <n v="30"/>
    <x v="0"/>
    <s v="Millennials"/>
    <x v="0"/>
  </r>
  <r>
    <n v="21751"/>
    <x v="0"/>
    <x v="1"/>
    <n v="60000"/>
    <x v="1"/>
    <x v="4"/>
    <s v="Management"/>
    <x v="0"/>
    <x v="2"/>
    <x v="3"/>
    <x v="2"/>
    <n v="63"/>
    <x v="1"/>
    <s v="Old"/>
    <x v="0"/>
  </r>
  <r>
    <n v="21266"/>
    <x v="1"/>
    <x v="0"/>
    <n v="80000"/>
    <x v="3"/>
    <x v="0"/>
    <s v="Management"/>
    <x v="0"/>
    <x v="1"/>
    <x v="3"/>
    <x v="2"/>
    <n v="34"/>
    <x v="0"/>
    <s v="Millennials"/>
    <x v="1"/>
  </r>
  <r>
    <n v="13388"/>
    <x v="1"/>
    <x v="1"/>
    <n v="60000"/>
    <x v="4"/>
    <x v="1"/>
    <s v="Professional"/>
    <x v="0"/>
    <x v="1"/>
    <x v="4"/>
    <x v="2"/>
    <n v="56"/>
    <x v="1"/>
    <s v="Old"/>
    <x v="0"/>
  </r>
  <r>
    <n v="18752"/>
    <x v="1"/>
    <x v="0"/>
    <n v="40000"/>
    <x v="3"/>
    <x v="2"/>
    <s v="Skilled Manual"/>
    <x v="0"/>
    <x v="1"/>
    <x v="2"/>
    <x v="2"/>
    <n v="31"/>
    <x v="0"/>
    <s v="Millennials"/>
    <x v="0"/>
  </r>
  <r>
    <n v="16917"/>
    <x v="0"/>
    <x v="1"/>
    <n v="120000"/>
    <x v="0"/>
    <x v="0"/>
    <s v="Management"/>
    <x v="0"/>
    <x v="3"/>
    <x v="0"/>
    <x v="2"/>
    <n v="38"/>
    <x v="0"/>
    <s v="Millennials"/>
    <x v="0"/>
  </r>
  <r>
    <n v="15313"/>
    <x v="0"/>
    <x v="1"/>
    <n v="60000"/>
    <x v="5"/>
    <x v="0"/>
    <s v="Management"/>
    <x v="0"/>
    <x v="2"/>
    <x v="1"/>
    <x v="2"/>
    <n v="59"/>
    <x v="1"/>
    <s v="Old"/>
    <x v="0"/>
  </r>
  <r>
    <n v="25329"/>
    <x v="1"/>
    <x v="0"/>
    <n v="40000"/>
    <x v="1"/>
    <x v="1"/>
    <s v="Clerical"/>
    <x v="1"/>
    <x v="2"/>
    <x v="0"/>
    <x v="2"/>
    <n v="32"/>
    <x v="0"/>
    <s v="Millennials"/>
    <x v="0"/>
  </r>
  <r>
    <n v="20380"/>
    <x v="0"/>
    <x v="0"/>
    <n v="60000"/>
    <x v="1"/>
    <x v="4"/>
    <s v="Management"/>
    <x v="0"/>
    <x v="2"/>
    <x v="4"/>
    <x v="2"/>
    <n v="69"/>
    <x v="1"/>
    <s v="Old"/>
    <x v="0"/>
  </r>
  <r>
    <n v="23089"/>
    <x v="0"/>
    <x v="1"/>
    <n v="40000"/>
    <x v="3"/>
    <x v="1"/>
    <s v="Skilled Manual"/>
    <x v="0"/>
    <x v="1"/>
    <x v="2"/>
    <x v="2"/>
    <n v="28"/>
    <x v="0"/>
    <s v="Millennials"/>
    <x v="0"/>
  </r>
  <r>
    <n v="13749"/>
    <x v="0"/>
    <x v="1"/>
    <n v="80000"/>
    <x v="5"/>
    <x v="4"/>
    <s v="Skilled Manual"/>
    <x v="0"/>
    <x v="0"/>
    <x v="3"/>
    <x v="2"/>
    <n v="47"/>
    <x v="2"/>
    <s v="Middle Age"/>
    <x v="0"/>
  </r>
  <r>
    <n v="24943"/>
    <x v="0"/>
    <x v="1"/>
    <n v="60000"/>
    <x v="1"/>
    <x v="0"/>
    <s v="Management"/>
    <x v="0"/>
    <x v="2"/>
    <x v="4"/>
    <x v="2"/>
    <n v="66"/>
    <x v="1"/>
    <s v="Old"/>
    <x v="0"/>
  </r>
  <r>
    <n v="28667"/>
    <x v="1"/>
    <x v="1"/>
    <n v="70000"/>
    <x v="4"/>
    <x v="0"/>
    <s v="Skilled Manual"/>
    <x v="1"/>
    <x v="1"/>
    <x v="0"/>
    <x v="2"/>
    <n v="37"/>
    <x v="0"/>
    <s v="Millennials"/>
    <x v="1"/>
  </r>
  <r>
    <n v="15194"/>
    <x v="1"/>
    <x v="1"/>
    <n v="120000"/>
    <x v="4"/>
    <x v="0"/>
    <s v="Management"/>
    <x v="1"/>
    <x v="4"/>
    <x v="0"/>
    <x v="2"/>
    <n v="39"/>
    <x v="0"/>
    <s v="Millennials"/>
    <x v="1"/>
  </r>
  <r>
    <n v="17436"/>
    <x v="0"/>
    <x v="1"/>
    <n v="60000"/>
    <x v="4"/>
    <x v="2"/>
    <s v="Professional"/>
    <x v="1"/>
    <x v="2"/>
    <x v="3"/>
    <x v="2"/>
    <n v="51"/>
    <x v="2"/>
    <s v="Middle Age"/>
    <x v="0"/>
  </r>
  <r>
    <n v="18935"/>
    <x v="0"/>
    <x v="0"/>
    <n v="130000"/>
    <x v="3"/>
    <x v="4"/>
    <s v="Management"/>
    <x v="0"/>
    <x v="4"/>
    <x v="3"/>
    <x v="2"/>
    <n v="40"/>
    <x v="0"/>
    <s v="Millennials"/>
    <x v="0"/>
  </r>
  <r>
    <n v="16871"/>
    <x v="0"/>
    <x v="0"/>
    <n v="90000"/>
    <x v="4"/>
    <x v="2"/>
    <s v="Professional"/>
    <x v="0"/>
    <x v="1"/>
    <x v="4"/>
    <x v="2"/>
    <n v="51"/>
    <x v="2"/>
    <s v="Middle Age"/>
    <x v="1"/>
  </r>
  <r>
    <n v="12100"/>
    <x v="1"/>
    <x v="1"/>
    <n v="60000"/>
    <x v="4"/>
    <x v="0"/>
    <s v="Management"/>
    <x v="0"/>
    <x v="0"/>
    <x v="4"/>
    <x v="2"/>
    <n v="57"/>
    <x v="1"/>
    <s v="Old"/>
    <x v="0"/>
  </r>
  <r>
    <n v="23158"/>
    <x v="0"/>
    <x v="0"/>
    <n v="60000"/>
    <x v="0"/>
    <x v="4"/>
    <s v="Professional"/>
    <x v="1"/>
    <x v="0"/>
    <x v="0"/>
    <x v="2"/>
    <n v="35"/>
    <x v="0"/>
    <s v="Millennials"/>
    <x v="1"/>
  </r>
  <r>
    <n v="18545"/>
    <x v="0"/>
    <x v="1"/>
    <n v="40000"/>
    <x v="5"/>
    <x v="2"/>
    <s v="Professional"/>
    <x v="1"/>
    <x v="2"/>
    <x v="4"/>
    <x v="2"/>
    <n v="61"/>
    <x v="1"/>
    <s v="Old"/>
    <x v="1"/>
  </r>
  <r>
    <n v="18391"/>
    <x v="1"/>
    <x v="0"/>
    <n v="80000"/>
    <x v="2"/>
    <x v="1"/>
    <s v="Professional"/>
    <x v="0"/>
    <x v="2"/>
    <x v="2"/>
    <x v="2"/>
    <n v="44"/>
    <x v="0"/>
    <s v="Millennials"/>
    <x v="0"/>
  </r>
  <r>
    <n v="19812"/>
    <x v="1"/>
    <x v="0"/>
    <n v="70000"/>
    <x v="4"/>
    <x v="1"/>
    <s v="Professional"/>
    <x v="0"/>
    <x v="0"/>
    <x v="2"/>
    <x v="2"/>
    <n v="49"/>
    <x v="2"/>
    <s v="Middle Age"/>
    <x v="1"/>
  </r>
  <r>
    <n v="27660"/>
    <x v="0"/>
    <x v="1"/>
    <n v="80000"/>
    <x v="5"/>
    <x v="4"/>
    <s v="Management"/>
    <x v="0"/>
    <x v="2"/>
    <x v="2"/>
    <x v="2"/>
    <n v="70"/>
    <x v="1"/>
    <s v="Old"/>
    <x v="0"/>
  </r>
  <r>
    <n v="18058"/>
    <x v="1"/>
    <x v="0"/>
    <n v="20000"/>
    <x v="1"/>
    <x v="2"/>
    <s v="Skilled Manual"/>
    <x v="0"/>
    <x v="2"/>
    <x v="1"/>
    <x v="2"/>
    <n v="78"/>
    <x v="1"/>
    <s v="Old"/>
    <x v="0"/>
  </r>
  <r>
    <n v="20343"/>
    <x v="0"/>
    <x v="0"/>
    <n v="90000"/>
    <x v="5"/>
    <x v="1"/>
    <s v="Professional"/>
    <x v="0"/>
    <x v="1"/>
    <x v="3"/>
    <x v="2"/>
    <n v="45"/>
    <x v="2"/>
    <s v="Middle Age"/>
    <x v="0"/>
  </r>
  <r>
    <n v="28997"/>
    <x v="1"/>
    <x v="1"/>
    <n v="40000"/>
    <x v="4"/>
    <x v="2"/>
    <s v="Professional"/>
    <x v="1"/>
    <x v="1"/>
    <x v="1"/>
    <x v="2"/>
    <n v="58"/>
    <x v="1"/>
    <s v="Old"/>
    <x v="1"/>
  </r>
  <r>
    <n v="24398"/>
    <x v="0"/>
    <x v="1"/>
    <n v="130000"/>
    <x v="0"/>
    <x v="4"/>
    <s v="Management"/>
    <x v="0"/>
    <x v="3"/>
    <x v="0"/>
    <x v="2"/>
    <n v="41"/>
    <x v="0"/>
    <s v="Millennials"/>
    <x v="0"/>
  </r>
  <r>
    <n v="19002"/>
    <x v="0"/>
    <x v="0"/>
    <n v="60000"/>
    <x v="4"/>
    <x v="1"/>
    <s v="Professional"/>
    <x v="0"/>
    <x v="1"/>
    <x v="1"/>
    <x v="2"/>
    <n v="57"/>
    <x v="1"/>
    <s v="Old"/>
    <x v="1"/>
  </r>
  <r>
    <n v="28609"/>
    <x v="0"/>
    <x v="1"/>
    <n v="30000"/>
    <x v="4"/>
    <x v="2"/>
    <s v="Skilled Manual"/>
    <x v="1"/>
    <x v="2"/>
    <x v="0"/>
    <x v="2"/>
    <n v="49"/>
    <x v="2"/>
    <s v="Middle Age"/>
    <x v="0"/>
  </r>
  <r>
    <n v="29231"/>
    <x v="1"/>
    <x v="1"/>
    <n v="80000"/>
    <x v="5"/>
    <x v="1"/>
    <s v="Professional"/>
    <x v="1"/>
    <x v="2"/>
    <x v="0"/>
    <x v="2"/>
    <n v="43"/>
    <x v="0"/>
    <s v="Millennials"/>
    <x v="0"/>
  </r>
  <r>
    <n v="18858"/>
    <x v="1"/>
    <x v="1"/>
    <n v="60000"/>
    <x v="4"/>
    <x v="3"/>
    <s v="Skilled Manual"/>
    <x v="0"/>
    <x v="2"/>
    <x v="2"/>
    <x v="2"/>
    <n v="52"/>
    <x v="2"/>
    <s v="Middle Age"/>
    <x v="1"/>
  </r>
  <r>
    <n v="20000"/>
    <x v="0"/>
    <x v="1"/>
    <n v="60000"/>
    <x v="0"/>
    <x v="4"/>
    <s v="Professional"/>
    <x v="0"/>
    <x v="0"/>
    <x v="0"/>
    <x v="2"/>
    <n v="35"/>
    <x v="0"/>
    <s v="Millennials"/>
    <x v="1"/>
  </r>
  <r>
    <n v="25261"/>
    <x v="0"/>
    <x v="1"/>
    <n v="40000"/>
    <x v="3"/>
    <x v="2"/>
    <s v="Skilled Manual"/>
    <x v="0"/>
    <x v="2"/>
    <x v="2"/>
    <x v="2"/>
    <n v="27"/>
    <x v="0"/>
    <s v="Millennials"/>
    <x v="0"/>
  </r>
  <r>
    <n v="17458"/>
    <x v="1"/>
    <x v="1"/>
    <n v="70000"/>
    <x v="1"/>
    <x v="2"/>
    <s v="Professional"/>
    <x v="0"/>
    <x v="0"/>
    <x v="2"/>
    <x v="2"/>
    <n v="52"/>
    <x v="2"/>
    <s v="Middle Age"/>
    <x v="1"/>
  </r>
  <r>
    <n v="11644"/>
    <x v="1"/>
    <x v="1"/>
    <n v="40000"/>
    <x v="4"/>
    <x v="0"/>
    <s v="Skilled Manual"/>
    <x v="0"/>
    <x v="0"/>
    <x v="1"/>
    <x v="2"/>
    <n v="36"/>
    <x v="0"/>
    <s v="Millennials"/>
    <x v="0"/>
  </r>
  <r>
    <n v="16145"/>
    <x v="1"/>
    <x v="0"/>
    <n v="70000"/>
    <x v="2"/>
    <x v="4"/>
    <s v="Professional"/>
    <x v="0"/>
    <x v="4"/>
    <x v="4"/>
    <x v="2"/>
    <n v="46"/>
    <x v="2"/>
    <s v="Middle Age"/>
    <x v="1"/>
  </r>
  <r>
    <n v="16890"/>
    <x v="0"/>
    <x v="1"/>
    <n v="60000"/>
    <x v="1"/>
    <x v="3"/>
    <s v="Skilled Manual"/>
    <x v="0"/>
    <x v="2"/>
    <x v="2"/>
    <x v="2"/>
    <n v="52"/>
    <x v="2"/>
    <s v="Middle Age"/>
    <x v="1"/>
  </r>
  <r>
    <n v="25983"/>
    <x v="0"/>
    <x v="1"/>
    <n v="70000"/>
    <x v="3"/>
    <x v="0"/>
    <s v="Professional"/>
    <x v="1"/>
    <x v="1"/>
    <x v="0"/>
    <x v="2"/>
    <n v="43"/>
    <x v="0"/>
    <s v="Millennials"/>
    <x v="0"/>
  </r>
  <r>
    <n v="14633"/>
    <x v="0"/>
    <x v="1"/>
    <n v="60000"/>
    <x v="0"/>
    <x v="1"/>
    <s v="Skilled Manual"/>
    <x v="0"/>
    <x v="1"/>
    <x v="1"/>
    <x v="2"/>
    <n v="44"/>
    <x v="0"/>
    <s v="Millennials"/>
    <x v="0"/>
  </r>
  <r>
    <n v="22994"/>
    <x v="0"/>
    <x v="0"/>
    <n v="80000"/>
    <x v="3"/>
    <x v="0"/>
    <s v="Management"/>
    <x v="0"/>
    <x v="1"/>
    <x v="3"/>
    <x v="2"/>
    <n v="34"/>
    <x v="0"/>
    <s v="Millennials"/>
    <x v="1"/>
  </r>
  <r>
    <n v="22983"/>
    <x v="1"/>
    <x v="0"/>
    <n v="30000"/>
    <x v="3"/>
    <x v="3"/>
    <s v="Clerical"/>
    <x v="0"/>
    <x v="2"/>
    <x v="2"/>
    <x v="2"/>
    <n v="27"/>
    <x v="0"/>
    <s v="Millennials"/>
    <x v="0"/>
  </r>
  <r>
    <n v="25184"/>
    <x v="1"/>
    <x v="1"/>
    <n v="110000"/>
    <x v="0"/>
    <x v="1"/>
    <s v="Professional"/>
    <x v="0"/>
    <x v="3"/>
    <x v="2"/>
    <x v="2"/>
    <n v="45"/>
    <x v="2"/>
    <s v="Middle Age"/>
    <x v="1"/>
  </r>
  <r>
    <n v="14469"/>
    <x v="0"/>
    <x v="0"/>
    <n v="100000"/>
    <x v="1"/>
    <x v="1"/>
    <s v="Professional"/>
    <x v="0"/>
    <x v="3"/>
    <x v="3"/>
    <x v="2"/>
    <n v="45"/>
    <x v="2"/>
    <s v="Middle Age"/>
    <x v="0"/>
  </r>
  <r>
    <n v="11538"/>
    <x v="1"/>
    <x v="0"/>
    <n v="60000"/>
    <x v="5"/>
    <x v="4"/>
    <s v="Skilled Manual"/>
    <x v="1"/>
    <x v="0"/>
    <x v="0"/>
    <x v="2"/>
    <n v="47"/>
    <x v="2"/>
    <s v="Middle Age"/>
    <x v="1"/>
  </r>
  <r>
    <n v="16245"/>
    <x v="1"/>
    <x v="0"/>
    <n v="80000"/>
    <x v="5"/>
    <x v="4"/>
    <s v="Skilled Manual"/>
    <x v="0"/>
    <x v="0"/>
    <x v="3"/>
    <x v="2"/>
    <n v="47"/>
    <x v="2"/>
    <s v="Middle Age"/>
    <x v="0"/>
  </r>
  <r>
    <n v="17858"/>
    <x v="0"/>
    <x v="1"/>
    <n v="40000"/>
    <x v="5"/>
    <x v="2"/>
    <s v="Skilled Manual"/>
    <x v="0"/>
    <x v="2"/>
    <x v="1"/>
    <x v="2"/>
    <n v="44"/>
    <x v="0"/>
    <s v="Millennials"/>
    <x v="1"/>
  </r>
  <r>
    <n v="25347"/>
    <x v="1"/>
    <x v="0"/>
    <n v="20000"/>
    <x v="1"/>
    <x v="3"/>
    <s v="Clerical"/>
    <x v="1"/>
    <x v="2"/>
    <x v="0"/>
    <x v="2"/>
    <n v="49"/>
    <x v="2"/>
    <s v="Middle Age"/>
    <x v="0"/>
  </r>
  <r>
    <n v="15814"/>
    <x v="1"/>
    <x v="0"/>
    <n v="40000"/>
    <x v="3"/>
    <x v="2"/>
    <s v="Skilled Manual"/>
    <x v="0"/>
    <x v="1"/>
    <x v="2"/>
    <x v="2"/>
    <n v="30"/>
    <x v="0"/>
    <s v="Millennials"/>
    <x v="0"/>
  </r>
  <r>
    <n v="11259"/>
    <x v="0"/>
    <x v="0"/>
    <n v="100000"/>
    <x v="5"/>
    <x v="1"/>
    <s v="Professional"/>
    <x v="0"/>
    <x v="3"/>
    <x v="1"/>
    <x v="2"/>
    <n v="41"/>
    <x v="0"/>
    <s v="Millennials"/>
    <x v="1"/>
  </r>
  <r>
    <n v="11200"/>
    <x v="0"/>
    <x v="1"/>
    <n v="70000"/>
    <x v="5"/>
    <x v="0"/>
    <s v="Management"/>
    <x v="0"/>
    <x v="1"/>
    <x v="3"/>
    <x v="2"/>
    <n v="58"/>
    <x v="1"/>
    <s v="Old"/>
    <x v="0"/>
  </r>
  <r>
    <n v="25101"/>
    <x v="0"/>
    <x v="1"/>
    <n v="60000"/>
    <x v="2"/>
    <x v="0"/>
    <s v="Professional"/>
    <x v="0"/>
    <x v="1"/>
    <x v="1"/>
    <x v="2"/>
    <n v="47"/>
    <x v="2"/>
    <s v="Middle Age"/>
    <x v="0"/>
  </r>
  <r>
    <n v="21801"/>
    <x v="0"/>
    <x v="0"/>
    <n v="70000"/>
    <x v="5"/>
    <x v="1"/>
    <s v="Professional"/>
    <x v="0"/>
    <x v="1"/>
    <x v="3"/>
    <x v="2"/>
    <n v="55"/>
    <x v="3"/>
    <s v="Late Middle Age"/>
    <x v="0"/>
  </r>
  <r>
    <n v="25943"/>
    <x v="1"/>
    <x v="0"/>
    <n v="70000"/>
    <x v="3"/>
    <x v="1"/>
    <s v="Skilled Manual"/>
    <x v="1"/>
    <x v="2"/>
    <x v="0"/>
    <x v="2"/>
    <n v="27"/>
    <x v="0"/>
    <s v="Millennials"/>
    <x v="1"/>
  </r>
  <r>
    <n v="22127"/>
    <x v="0"/>
    <x v="1"/>
    <n v="60000"/>
    <x v="1"/>
    <x v="4"/>
    <s v="Management"/>
    <x v="0"/>
    <x v="2"/>
    <x v="3"/>
    <x v="2"/>
    <n v="67"/>
    <x v="1"/>
    <s v="Old"/>
    <x v="0"/>
  </r>
  <r>
    <n v="20414"/>
    <x v="0"/>
    <x v="0"/>
    <n v="60000"/>
    <x v="3"/>
    <x v="1"/>
    <s v="Skilled Manual"/>
    <x v="0"/>
    <x v="2"/>
    <x v="2"/>
    <x v="2"/>
    <n v="29"/>
    <x v="0"/>
    <s v="Millennials"/>
    <x v="0"/>
  </r>
  <r>
    <n v="23672"/>
    <x v="0"/>
    <x v="0"/>
    <n v="60000"/>
    <x v="1"/>
    <x v="4"/>
    <s v="Management"/>
    <x v="0"/>
    <x v="2"/>
    <x v="3"/>
    <x v="2"/>
    <n v="67"/>
    <x v="1"/>
    <s v="Old"/>
    <x v="0"/>
  </r>
  <r>
    <n v="29255"/>
    <x v="1"/>
    <x v="1"/>
    <n v="80000"/>
    <x v="1"/>
    <x v="1"/>
    <s v="Professional"/>
    <x v="1"/>
    <x v="1"/>
    <x v="3"/>
    <x v="2"/>
    <n v="51"/>
    <x v="2"/>
    <s v="Middle Age"/>
    <x v="1"/>
  </r>
  <r>
    <n v="28815"/>
    <x v="0"/>
    <x v="0"/>
    <n v="50000"/>
    <x v="0"/>
    <x v="4"/>
    <s v="Skilled Manual"/>
    <x v="0"/>
    <x v="0"/>
    <x v="0"/>
    <x v="2"/>
    <n v="35"/>
    <x v="0"/>
    <s v="Millennials"/>
    <x v="0"/>
  </r>
  <r>
    <n v="27753"/>
    <x v="0"/>
    <x v="1"/>
    <n v="40000"/>
    <x v="3"/>
    <x v="2"/>
    <s v="Skilled Manual"/>
    <x v="1"/>
    <x v="2"/>
    <x v="3"/>
    <x v="2"/>
    <n v="30"/>
    <x v="0"/>
    <s v="Millennials"/>
    <x v="0"/>
  </r>
  <r>
    <n v="27643"/>
    <x v="1"/>
    <x v="1"/>
    <n v="70000"/>
    <x v="2"/>
    <x v="1"/>
    <s v="Professional"/>
    <x v="0"/>
    <x v="4"/>
    <x v="1"/>
    <x v="2"/>
    <n v="44"/>
    <x v="0"/>
    <s v="Millennials"/>
    <x v="0"/>
  </r>
  <r>
    <n v="13754"/>
    <x v="1"/>
    <x v="0"/>
    <n v="80000"/>
    <x v="5"/>
    <x v="4"/>
    <s v="Skilled Manual"/>
    <x v="0"/>
    <x v="0"/>
    <x v="3"/>
    <x v="2"/>
    <n v="48"/>
    <x v="2"/>
    <s v="Middle Age"/>
    <x v="0"/>
  </r>
  <r>
    <n v="22088"/>
    <x v="0"/>
    <x v="0"/>
    <n v="130000"/>
    <x v="0"/>
    <x v="0"/>
    <s v="Management"/>
    <x v="0"/>
    <x v="2"/>
    <x v="0"/>
    <x v="2"/>
    <n v="45"/>
    <x v="2"/>
    <s v="Middle Age"/>
    <x v="1"/>
  </r>
  <r>
    <n v="27388"/>
    <x v="0"/>
    <x v="1"/>
    <n v="60000"/>
    <x v="1"/>
    <x v="0"/>
    <s v="Management"/>
    <x v="1"/>
    <x v="2"/>
    <x v="3"/>
    <x v="2"/>
    <n v="66"/>
    <x v="1"/>
    <s v="Old"/>
    <x v="0"/>
  </r>
  <r>
    <n v="24745"/>
    <x v="1"/>
    <x v="0"/>
    <n v="30000"/>
    <x v="4"/>
    <x v="2"/>
    <s v="Skilled Manual"/>
    <x v="1"/>
    <x v="2"/>
    <x v="0"/>
    <x v="2"/>
    <n v="49"/>
    <x v="2"/>
    <s v="Middle Age"/>
    <x v="0"/>
  </r>
  <r>
    <n v="29237"/>
    <x v="1"/>
    <x v="0"/>
    <n v="120000"/>
    <x v="5"/>
    <x v="1"/>
    <s v="Professional"/>
    <x v="0"/>
    <x v="4"/>
    <x v="2"/>
    <x v="2"/>
    <n v="43"/>
    <x v="0"/>
    <s v="Millennials"/>
    <x v="1"/>
  </r>
  <r>
    <n v="15272"/>
    <x v="1"/>
    <x v="1"/>
    <n v="40000"/>
    <x v="3"/>
    <x v="2"/>
    <s v="Skilled Manual"/>
    <x v="1"/>
    <x v="2"/>
    <x v="3"/>
    <x v="2"/>
    <n v="30"/>
    <x v="0"/>
    <s v="Millennials"/>
    <x v="0"/>
  </r>
  <r>
    <n v="18949"/>
    <x v="1"/>
    <x v="1"/>
    <n v="70000"/>
    <x v="3"/>
    <x v="4"/>
    <s v="Management"/>
    <x v="0"/>
    <x v="2"/>
    <x v="2"/>
    <x v="2"/>
    <n v="74"/>
    <x v="1"/>
    <s v="Old"/>
    <x v="1"/>
  </r>
  <r>
    <n v="14507"/>
    <x v="0"/>
    <x v="1"/>
    <n v="100000"/>
    <x v="4"/>
    <x v="4"/>
    <s v="Management"/>
    <x v="0"/>
    <x v="4"/>
    <x v="3"/>
    <x v="2"/>
    <n v="65"/>
    <x v="1"/>
    <s v="Old"/>
    <x v="0"/>
  </r>
  <r>
    <n v="25886"/>
    <x v="0"/>
    <x v="0"/>
    <n v="60000"/>
    <x v="4"/>
    <x v="1"/>
    <s v="Professional"/>
    <x v="0"/>
    <x v="2"/>
    <x v="1"/>
    <x v="2"/>
    <n v="56"/>
    <x v="1"/>
    <s v="Old"/>
    <x v="1"/>
  </r>
  <r>
    <n v="21441"/>
    <x v="0"/>
    <x v="1"/>
    <n v="50000"/>
    <x v="5"/>
    <x v="0"/>
    <s v="Management"/>
    <x v="0"/>
    <x v="2"/>
    <x v="4"/>
    <x v="2"/>
    <n v="64"/>
    <x v="1"/>
    <s v="Old"/>
    <x v="0"/>
  </r>
  <r>
    <n v="21741"/>
    <x v="0"/>
    <x v="0"/>
    <n v="70000"/>
    <x v="1"/>
    <x v="1"/>
    <s v="Professional"/>
    <x v="0"/>
    <x v="2"/>
    <x v="2"/>
    <x v="2"/>
    <n v="50"/>
    <x v="2"/>
    <s v="Middle Age"/>
    <x v="1"/>
  </r>
  <r>
    <n v="14572"/>
    <x v="0"/>
    <x v="0"/>
    <n v="70000"/>
    <x v="1"/>
    <x v="4"/>
    <s v="Professional"/>
    <x v="0"/>
    <x v="0"/>
    <x v="1"/>
    <x v="2"/>
    <n v="35"/>
    <x v="0"/>
    <s v="Millennials"/>
    <x v="1"/>
  </r>
  <r>
    <n v="23368"/>
    <x v="0"/>
    <x v="0"/>
    <n v="60000"/>
    <x v="2"/>
    <x v="0"/>
    <s v="Skilled Manual"/>
    <x v="0"/>
    <x v="4"/>
    <x v="4"/>
    <x v="2"/>
    <n v="41"/>
    <x v="0"/>
    <s v="Millennials"/>
    <x v="0"/>
  </r>
  <r>
    <n v="16217"/>
    <x v="1"/>
    <x v="0"/>
    <n v="60000"/>
    <x v="3"/>
    <x v="4"/>
    <s v="Skilled Manual"/>
    <x v="0"/>
    <x v="0"/>
    <x v="0"/>
    <x v="2"/>
    <n v="39"/>
    <x v="0"/>
    <s v="Millennials"/>
    <x v="0"/>
  </r>
  <r>
    <n v="16247"/>
    <x v="1"/>
    <x v="0"/>
    <n v="60000"/>
    <x v="5"/>
    <x v="4"/>
    <s v="Skilled Manual"/>
    <x v="1"/>
    <x v="0"/>
    <x v="3"/>
    <x v="2"/>
    <n v="47"/>
    <x v="2"/>
    <s v="Middle Age"/>
    <x v="0"/>
  </r>
  <r>
    <n v="22010"/>
    <x v="1"/>
    <x v="1"/>
    <n v="40000"/>
    <x v="3"/>
    <x v="2"/>
    <s v="Skilled Manual"/>
    <x v="0"/>
    <x v="2"/>
    <x v="2"/>
    <x v="2"/>
    <n v="31"/>
    <x v="0"/>
    <s v="Millennials"/>
    <x v="0"/>
  </r>
  <r>
    <n v="25872"/>
    <x v="1"/>
    <x v="0"/>
    <n v="70000"/>
    <x v="4"/>
    <x v="0"/>
    <s v="Management"/>
    <x v="1"/>
    <x v="1"/>
    <x v="1"/>
    <x v="2"/>
    <n v="58"/>
    <x v="1"/>
    <s v="Old"/>
    <x v="1"/>
  </r>
  <r>
    <n v="19164"/>
    <x v="1"/>
    <x v="0"/>
    <n v="70000"/>
    <x v="3"/>
    <x v="0"/>
    <s v="Professional"/>
    <x v="1"/>
    <x v="1"/>
    <x v="1"/>
    <x v="2"/>
    <n v="38"/>
    <x v="0"/>
    <s v="Millennials"/>
    <x v="1"/>
  </r>
  <r>
    <n v="18435"/>
    <x v="1"/>
    <x v="0"/>
    <n v="70000"/>
    <x v="2"/>
    <x v="4"/>
    <s v="Management"/>
    <x v="0"/>
    <x v="2"/>
    <x v="4"/>
    <x v="2"/>
    <n v="67"/>
    <x v="1"/>
    <s v="Old"/>
    <x v="1"/>
  </r>
  <r>
    <n v="14284"/>
    <x v="1"/>
    <x v="1"/>
    <n v="60000"/>
    <x v="3"/>
    <x v="1"/>
    <s v="Professional"/>
    <x v="1"/>
    <x v="2"/>
    <x v="3"/>
    <x v="2"/>
    <n v="32"/>
    <x v="0"/>
    <s v="Millennials"/>
    <x v="1"/>
  </r>
  <r>
    <n v="11287"/>
    <x v="0"/>
    <x v="1"/>
    <n v="70000"/>
    <x v="2"/>
    <x v="1"/>
    <s v="Professional"/>
    <x v="1"/>
    <x v="4"/>
    <x v="2"/>
    <x v="2"/>
    <n v="45"/>
    <x v="2"/>
    <s v="Middle Age"/>
    <x v="0"/>
  </r>
  <r>
    <n v="13066"/>
    <x v="1"/>
    <x v="1"/>
    <n v="30000"/>
    <x v="3"/>
    <x v="2"/>
    <s v="Skilled Manual"/>
    <x v="1"/>
    <x v="2"/>
    <x v="3"/>
    <x v="2"/>
    <n v="31"/>
    <x v="0"/>
    <s v="Millennials"/>
    <x v="1"/>
  </r>
  <r>
    <n v="29106"/>
    <x v="1"/>
    <x v="1"/>
    <n v="40000"/>
    <x v="3"/>
    <x v="2"/>
    <s v="Skilled Manual"/>
    <x v="1"/>
    <x v="2"/>
    <x v="3"/>
    <x v="2"/>
    <n v="31"/>
    <x v="0"/>
    <s v="Millennials"/>
    <x v="1"/>
  </r>
  <r>
    <n v="26236"/>
    <x v="0"/>
    <x v="0"/>
    <n v="40000"/>
    <x v="1"/>
    <x v="1"/>
    <s v="Clerical"/>
    <x v="0"/>
    <x v="1"/>
    <x v="0"/>
    <x v="2"/>
    <n v="31"/>
    <x v="0"/>
    <s v="Millennials"/>
    <x v="0"/>
  </r>
  <r>
    <n v="17531"/>
    <x v="0"/>
    <x v="1"/>
    <n v="60000"/>
    <x v="4"/>
    <x v="2"/>
    <s v="Professional"/>
    <x v="1"/>
    <x v="2"/>
    <x v="2"/>
    <x v="2"/>
    <n v="50"/>
    <x v="2"/>
    <s v="Middle Age"/>
    <x v="0"/>
  </r>
  <r>
    <n v="12964"/>
    <x v="0"/>
    <x v="1"/>
    <n v="70000"/>
    <x v="0"/>
    <x v="1"/>
    <s v="Skilled Manual"/>
    <x v="0"/>
    <x v="1"/>
    <x v="0"/>
    <x v="2"/>
    <n v="44"/>
    <x v="0"/>
    <s v="Millennials"/>
    <x v="0"/>
  </r>
  <r>
    <n v="19133"/>
    <x v="1"/>
    <x v="1"/>
    <n v="50000"/>
    <x v="4"/>
    <x v="0"/>
    <s v="Skilled Manual"/>
    <x v="0"/>
    <x v="1"/>
    <x v="1"/>
    <x v="2"/>
    <n v="38"/>
    <x v="0"/>
    <s v="Millennials"/>
    <x v="1"/>
  </r>
  <r>
    <n v="24643"/>
    <x v="1"/>
    <x v="0"/>
    <n v="60000"/>
    <x v="5"/>
    <x v="0"/>
    <s v="Management"/>
    <x v="0"/>
    <x v="2"/>
    <x v="4"/>
    <x v="2"/>
    <n v="63"/>
    <x v="1"/>
    <s v="Old"/>
    <x v="0"/>
  </r>
  <r>
    <n v="21599"/>
    <x v="0"/>
    <x v="0"/>
    <n v="60000"/>
    <x v="0"/>
    <x v="4"/>
    <s v="Professional"/>
    <x v="0"/>
    <x v="0"/>
    <x v="1"/>
    <x v="2"/>
    <n v="36"/>
    <x v="0"/>
    <s v="Millennials"/>
    <x v="1"/>
  </r>
  <r>
    <n v="22976"/>
    <x v="1"/>
    <x v="1"/>
    <n v="40000"/>
    <x v="3"/>
    <x v="2"/>
    <s v="Skilled Manual"/>
    <x v="1"/>
    <x v="2"/>
    <x v="0"/>
    <x v="2"/>
    <n v="28"/>
    <x v="0"/>
    <s v="Millennials"/>
    <x v="1"/>
  </r>
  <r>
    <n v="27637"/>
    <x v="1"/>
    <x v="0"/>
    <n v="100000"/>
    <x v="0"/>
    <x v="1"/>
    <s v="Professional"/>
    <x v="1"/>
    <x v="4"/>
    <x v="3"/>
    <x v="2"/>
    <n v="44"/>
    <x v="0"/>
    <s v="Millennials"/>
    <x v="0"/>
  </r>
  <r>
    <n v="11890"/>
    <x v="0"/>
    <x v="0"/>
    <n v="70000"/>
    <x v="2"/>
    <x v="4"/>
    <s v="Professional"/>
    <x v="0"/>
    <x v="1"/>
    <x v="0"/>
    <x v="2"/>
    <n v="47"/>
    <x v="2"/>
    <s v="Middle Age"/>
    <x v="0"/>
  </r>
  <r>
    <n v="28580"/>
    <x v="0"/>
    <x v="0"/>
    <n v="80000"/>
    <x v="3"/>
    <x v="4"/>
    <s v="Skilled Manual"/>
    <x v="0"/>
    <x v="0"/>
    <x v="3"/>
    <x v="2"/>
    <n v="40"/>
    <x v="0"/>
    <s v="Millennials"/>
    <x v="1"/>
  </r>
  <r>
    <n v="14443"/>
    <x v="0"/>
    <x v="1"/>
    <n v="130000"/>
    <x v="0"/>
    <x v="4"/>
    <s v="Management"/>
    <x v="0"/>
    <x v="3"/>
    <x v="0"/>
    <x v="2"/>
    <n v="40"/>
    <x v="0"/>
    <s v="Millennials"/>
    <x v="0"/>
  </r>
  <r>
    <n v="17864"/>
    <x v="0"/>
    <x v="0"/>
    <n v="60000"/>
    <x v="0"/>
    <x v="1"/>
    <s v="Skilled Manual"/>
    <x v="0"/>
    <x v="1"/>
    <x v="1"/>
    <x v="2"/>
    <n v="46"/>
    <x v="2"/>
    <s v="Middle Age"/>
    <x v="1"/>
  </r>
  <r>
    <n v="20505"/>
    <x v="0"/>
    <x v="0"/>
    <n v="40000"/>
    <x v="2"/>
    <x v="2"/>
    <s v="Professional"/>
    <x v="1"/>
    <x v="2"/>
    <x v="4"/>
    <x v="2"/>
    <n v="61"/>
    <x v="1"/>
    <s v="Old"/>
    <x v="0"/>
  </r>
  <r>
    <n v="14592"/>
    <x v="0"/>
    <x v="0"/>
    <n v="60000"/>
    <x v="3"/>
    <x v="4"/>
    <s v="Professional"/>
    <x v="0"/>
    <x v="0"/>
    <x v="0"/>
    <x v="2"/>
    <n v="40"/>
    <x v="0"/>
    <s v="Millennials"/>
    <x v="0"/>
  </r>
  <r>
    <n v="22227"/>
    <x v="0"/>
    <x v="0"/>
    <n v="60000"/>
    <x v="4"/>
    <x v="2"/>
    <s v="Professional"/>
    <x v="0"/>
    <x v="2"/>
    <x v="2"/>
    <x v="2"/>
    <n v="50"/>
    <x v="2"/>
    <s v="Middle Age"/>
    <x v="0"/>
  </r>
  <r>
    <n v="21471"/>
    <x v="0"/>
    <x v="1"/>
    <n v="70000"/>
    <x v="4"/>
    <x v="1"/>
    <s v="Professional"/>
    <x v="0"/>
    <x v="1"/>
    <x v="4"/>
    <x v="2"/>
    <n v="59"/>
    <x v="1"/>
    <s v="Old"/>
    <x v="0"/>
  </r>
  <r>
    <n v="22252"/>
    <x v="1"/>
    <x v="0"/>
    <n v="60000"/>
    <x v="0"/>
    <x v="4"/>
    <s v="Professional"/>
    <x v="0"/>
    <x v="0"/>
    <x v="1"/>
    <x v="2"/>
    <n v="36"/>
    <x v="0"/>
    <s v="Millennials"/>
    <x v="1"/>
  </r>
  <r>
    <n v="21260"/>
    <x v="1"/>
    <x v="0"/>
    <n v="40000"/>
    <x v="3"/>
    <x v="2"/>
    <s v="Skilled Manual"/>
    <x v="0"/>
    <x v="2"/>
    <x v="2"/>
    <x v="2"/>
    <n v="30"/>
    <x v="0"/>
    <s v="Millennials"/>
    <x v="0"/>
  </r>
  <r>
    <n v="11817"/>
    <x v="1"/>
    <x v="0"/>
    <n v="70000"/>
    <x v="5"/>
    <x v="4"/>
    <s v="Professional"/>
    <x v="0"/>
    <x v="0"/>
    <x v="1"/>
    <x v="2"/>
    <n v="35"/>
    <x v="0"/>
    <s v="Millennials"/>
    <x v="1"/>
  </r>
  <r>
    <n v="19223"/>
    <x v="0"/>
    <x v="0"/>
    <n v="30000"/>
    <x v="4"/>
    <x v="2"/>
    <s v="Skilled Manual"/>
    <x v="0"/>
    <x v="2"/>
    <x v="3"/>
    <x v="2"/>
    <n v="48"/>
    <x v="2"/>
    <s v="Middle Age"/>
    <x v="0"/>
  </r>
  <r>
    <n v="18517"/>
    <x v="0"/>
    <x v="1"/>
    <n v="100000"/>
    <x v="1"/>
    <x v="0"/>
    <s v="Management"/>
    <x v="0"/>
    <x v="3"/>
    <x v="0"/>
    <x v="2"/>
    <n v="41"/>
    <x v="0"/>
    <s v="Millennials"/>
    <x v="0"/>
  </r>
  <r>
    <n v="21717"/>
    <x v="0"/>
    <x v="1"/>
    <n v="40000"/>
    <x v="4"/>
    <x v="1"/>
    <s v="Clerical"/>
    <x v="0"/>
    <x v="1"/>
    <x v="0"/>
    <x v="2"/>
    <n v="47"/>
    <x v="2"/>
    <s v="Middle Age"/>
    <x v="0"/>
  </r>
  <r>
    <n v="13760"/>
    <x v="0"/>
    <x v="1"/>
    <n v="60000"/>
    <x v="5"/>
    <x v="4"/>
    <s v="Skilled Manual"/>
    <x v="1"/>
    <x v="0"/>
    <x v="0"/>
    <x v="2"/>
    <n v="47"/>
    <x v="2"/>
    <s v="Middle Age"/>
    <x v="0"/>
  </r>
  <r>
    <n v="18145"/>
    <x v="0"/>
    <x v="1"/>
    <n v="80000"/>
    <x v="2"/>
    <x v="0"/>
    <s v="Management"/>
    <x v="1"/>
    <x v="2"/>
    <x v="1"/>
    <x v="0"/>
    <n v="62"/>
    <x v="1"/>
    <s v="Old"/>
    <x v="0"/>
  </r>
  <r>
    <n v="21770"/>
    <x v="0"/>
    <x v="1"/>
    <n v="60000"/>
    <x v="5"/>
    <x v="0"/>
    <s v="Management"/>
    <x v="0"/>
    <x v="2"/>
    <x v="4"/>
    <x v="2"/>
    <n v="60"/>
    <x v="1"/>
    <s v="Old"/>
    <x v="0"/>
  </r>
  <r>
    <n v="11165"/>
    <x v="0"/>
    <x v="0"/>
    <n v="60000"/>
    <x v="3"/>
    <x v="1"/>
    <s v="Skilled Manual"/>
    <x v="1"/>
    <x v="1"/>
    <x v="3"/>
    <x v="2"/>
    <n v="33"/>
    <x v="0"/>
    <s v="Millennials"/>
    <x v="0"/>
  </r>
  <r>
    <n v="16377"/>
    <x v="1"/>
    <x v="0"/>
    <n v="80000"/>
    <x v="5"/>
    <x v="4"/>
    <s v="Skilled Manual"/>
    <x v="1"/>
    <x v="0"/>
    <x v="0"/>
    <x v="2"/>
    <n v="47"/>
    <x v="2"/>
    <s v="Middle Age"/>
    <x v="0"/>
  </r>
  <r>
    <n v="26248"/>
    <x v="0"/>
    <x v="1"/>
    <n v="20000"/>
    <x v="1"/>
    <x v="3"/>
    <s v="Clerical"/>
    <x v="1"/>
    <x v="2"/>
    <x v="0"/>
    <x v="2"/>
    <n v="52"/>
    <x v="2"/>
    <s v="Middle Age"/>
    <x v="0"/>
  </r>
  <r>
    <n v="23461"/>
    <x v="0"/>
    <x v="0"/>
    <n v="90000"/>
    <x v="2"/>
    <x v="1"/>
    <s v="Professional"/>
    <x v="0"/>
    <x v="4"/>
    <x v="1"/>
    <x v="2"/>
    <n v="40"/>
    <x v="0"/>
    <s v="Millennials"/>
    <x v="0"/>
  </r>
  <r>
    <n v="29133"/>
    <x v="1"/>
    <x v="0"/>
    <n v="60000"/>
    <x v="5"/>
    <x v="0"/>
    <s v="Skilled Manual"/>
    <x v="1"/>
    <x v="2"/>
    <x v="0"/>
    <x v="2"/>
    <n v="42"/>
    <x v="0"/>
    <s v="Millennials"/>
    <x v="0"/>
  </r>
  <r>
    <n v="27673"/>
    <x v="1"/>
    <x v="0"/>
    <n v="60000"/>
    <x v="1"/>
    <x v="4"/>
    <s v="Management"/>
    <x v="0"/>
    <x v="2"/>
    <x v="2"/>
    <x v="2"/>
    <n v="53"/>
    <x v="2"/>
    <s v="Middle Age"/>
    <x v="1"/>
  </r>
  <r>
    <n v="12774"/>
    <x v="0"/>
    <x v="0"/>
    <n v="40000"/>
    <x v="0"/>
    <x v="1"/>
    <s v="Clerical"/>
    <x v="0"/>
    <x v="1"/>
    <x v="3"/>
    <x v="2"/>
    <n v="51"/>
    <x v="2"/>
    <s v="Middle Age"/>
    <x v="1"/>
  </r>
  <r>
    <n v="18910"/>
    <x v="1"/>
    <x v="1"/>
    <n v="30000"/>
    <x v="3"/>
    <x v="1"/>
    <s v="Skilled Manual"/>
    <x v="0"/>
    <x v="2"/>
    <x v="2"/>
    <x v="2"/>
    <n v="30"/>
    <x v="0"/>
    <s v="Millennials"/>
    <x v="0"/>
  </r>
  <r>
    <n v="11699"/>
    <x v="1"/>
    <x v="1"/>
    <n v="60000"/>
    <x v="3"/>
    <x v="0"/>
    <s v="Skilled Manual"/>
    <x v="1"/>
    <x v="2"/>
    <x v="0"/>
    <x v="2"/>
    <n v="30"/>
    <x v="0"/>
    <s v="Millennials"/>
    <x v="0"/>
  </r>
  <r>
    <n v="16725"/>
    <x v="0"/>
    <x v="1"/>
    <n v="30000"/>
    <x v="3"/>
    <x v="2"/>
    <s v="Skilled Manual"/>
    <x v="0"/>
    <x v="2"/>
    <x v="2"/>
    <x v="2"/>
    <n v="26"/>
    <x v="0"/>
    <s v="Millennials"/>
    <x v="0"/>
  </r>
  <r>
    <n v="28269"/>
    <x v="1"/>
    <x v="0"/>
    <n v="130000"/>
    <x v="0"/>
    <x v="0"/>
    <s v="Management"/>
    <x v="1"/>
    <x v="1"/>
    <x v="1"/>
    <x v="2"/>
    <n v="45"/>
    <x v="2"/>
    <s v="Middle Age"/>
    <x v="0"/>
  </r>
  <r>
    <n v="23144"/>
    <x v="0"/>
    <x v="1"/>
    <n v="50000"/>
    <x v="0"/>
    <x v="0"/>
    <s v="Skilled Manual"/>
    <x v="0"/>
    <x v="0"/>
    <x v="0"/>
    <x v="2"/>
    <n v="34"/>
    <x v="0"/>
    <s v="Millennials"/>
    <x v="1"/>
  </r>
  <r>
    <n v="23376"/>
    <x v="0"/>
    <x v="1"/>
    <n v="70000"/>
    <x v="0"/>
    <x v="0"/>
    <s v="Professional"/>
    <x v="0"/>
    <x v="1"/>
    <x v="1"/>
    <x v="2"/>
    <n v="44"/>
    <x v="0"/>
    <s v="Millennials"/>
    <x v="1"/>
  </r>
  <r>
    <n v="25970"/>
    <x v="1"/>
    <x v="0"/>
    <n v="60000"/>
    <x v="5"/>
    <x v="0"/>
    <s v="Skilled Manual"/>
    <x v="1"/>
    <x v="2"/>
    <x v="0"/>
    <x v="2"/>
    <n v="41"/>
    <x v="0"/>
    <s v="Millennials"/>
    <x v="1"/>
  </r>
  <r>
    <n v="28068"/>
    <x v="1"/>
    <x v="0"/>
    <n v="80000"/>
    <x v="1"/>
    <x v="4"/>
    <s v="Professional"/>
    <x v="1"/>
    <x v="0"/>
    <x v="0"/>
    <x v="2"/>
    <n v="36"/>
    <x v="0"/>
    <s v="Millennials"/>
    <x v="1"/>
  </r>
  <r>
    <n v="18390"/>
    <x v="0"/>
    <x v="1"/>
    <n v="80000"/>
    <x v="2"/>
    <x v="1"/>
    <s v="Professional"/>
    <x v="0"/>
    <x v="2"/>
    <x v="0"/>
    <x v="2"/>
    <n v="44"/>
    <x v="0"/>
    <s v="Millennials"/>
    <x v="0"/>
  </r>
  <r>
    <n v="29112"/>
    <x v="1"/>
    <x v="1"/>
    <n v="60000"/>
    <x v="3"/>
    <x v="1"/>
    <s v="Professional"/>
    <x v="1"/>
    <x v="2"/>
    <x v="3"/>
    <x v="2"/>
    <n v="30"/>
    <x v="0"/>
    <s v="Millennials"/>
    <x v="0"/>
  </r>
  <r>
    <n v="14090"/>
    <x v="0"/>
    <x v="0"/>
    <n v="30000"/>
    <x v="3"/>
    <x v="3"/>
    <s v="Clerical"/>
    <x v="1"/>
    <x v="2"/>
    <x v="0"/>
    <x v="2"/>
    <n v="28"/>
    <x v="0"/>
    <s v="Millennials"/>
    <x v="0"/>
  </r>
  <r>
    <n v="27040"/>
    <x v="0"/>
    <x v="1"/>
    <n v="20000"/>
    <x v="4"/>
    <x v="3"/>
    <s v="Clerical"/>
    <x v="0"/>
    <x v="2"/>
    <x v="3"/>
    <x v="2"/>
    <n v="49"/>
    <x v="2"/>
    <s v="Middle Age"/>
    <x v="0"/>
  </r>
  <r>
    <n v="23479"/>
    <x v="1"/>
    <x v="1"/>
    <n v="90000"/>
    <x v="3"/>
    <x v="1"/>
    <s v="Professional"/>
    <x v="1"/>
    <x v="2"/>
    <x v="0"/>
    <x v="2"/>
    <n v="43"/>
    <x v="0"/>
    <s v="Millennials"/>
    <x v="1"/>
  </r>
  <r>
    <n v="16795"/>
    <x v="0"/>
    <x v="0"/>
    <n v="70000"/>
    <x v="5"/>
    <x v="0"/>
    <s v="Management"/>
    <x v="0"/>
    <x v="1"/>
    <x v="3"/>
    <x v="2"/>
    <n v="59"/>
    <x v="1"/>
    <s v="Old"/>
    <x v="0"/>
  </r>
  <r>
    <n v="22014"/>
    <x v="1"/>
    <x v="1"/>
    <n v="30000"/>
    <x v="3"/>
    <x v="2"/>
    <s v="Skilled Manual"/>
    <x v="0"/>
    <x v="2"/>
    <x v="2"/>
    <x v="2"/>
    <n v="26"/>
    <x v="0"/>
    <s v="Millennials"/>
    <x v="0"/>
  </r>
  <r>
    <n v="13314"/>
    <x v="0"/>
    <x v="1"/>
    <n v="120000"/>
    <x v="0"/>
    <x v="2"/>
    <s v="Professional"/>
    <x v="0"/>
    <x v="3"/>
    <x v="2"/>
    <x v="2"/>
    <n v="46"/>
    <x v="2"/>
    <s v="Middle Age"/>
    <x v="1"/>
  </r>
  <r>
    <n v="11619"/>
    <x v="1"/>
    <x v="0"/>
    <n v="50000"/>
    <x v="3"/>
    <x v="4"/>
    <s v="Skilled Manual"/>
    <x v="0"/>
    <x v="0"/>
    <x v="3"/>
    <x v="2"/>
    <n v="33"/>
    <x v="0"/>
    <s v="Millennials"/>
    <x v="0"/>
  </r>
  <r>
    <n v="29132"/>
    <x v="1"/>
    <x v="0"/>
    <n v="40000"/>
    <x v="3"/>
    <x v="0"/>
    <s v="Professional"/>
    <x v="0"/>
    <x v="1"/>
    <x v="1"/>
    <x v="2"/>
    <n v="42"/>
    <x v="0"/>
    <s v="Millennials"/>
    <x v="1"/>
  </r>
  <r>
    <n v="11199"/>
    <x v="0"/>
    <x v="0"/>
    <n v="70000"/>
    <x v="5"/>
    <x v="0"/>
    <s v="Management"/>
    <x v="0"/>
    <x v="1"/>
    <x v="4"/>
    <x v="2"/>
    <n v="59"/>
    <x v="1"/>
    <s v="Old"/>
    <x v="0"/>
  </r>
  <r>
    <n v="20296"/>
    <x v="1"/>
    <x v="0"/>
    <n v="60000"/>
    <x v="3"/>
    <x v="1"/>
    <s v="Skilled Manual"/>
    <x v="1"/>
    <x v="1"/>
    <x v="3"/>
    <x v="2"/>
    <n v="33"/>
    <x v="0"/>
    <s v="Millennials"/>
    <x v="1"/>
  </r>
  <r>
    <n v="17546"/>
    <x v="0"/>
    <x v="0"/>
    <n v="70000"/>
    <x v="0"/>
    <x v="1"/>
    <s v="Skilled Manual"/>
    <x v="0"/>
    <x v="1"/>
    <x v="0"/>
    <x v="2"/>
    <n v="44"/>
    <x v="0"/>
    <s v="Millennials"/>
    <x v="1"/>
  </r>
  <r>
    <n v="18069"/>
    <x v="0"/>
    <x v="1"/>
    <n v="70000"/>
    <x v="2"/>
    <x v="0"/>
    <s v="Management"/>
    <x v="0"/>
    <x v="3"/>
    <x v="4"/>
    <x v="2"/>
    <n v="60"/>
    <x v="1"/>
    <s v="Old"/>
    <x v="0"/>
  </r>
  <r>
    <n v="23712"/>
    <x v="1"/>
    <x v="0"/>
    <n v="70000"/>
    <x v="4"/>
    <x v="0"/>
    <s v="Management"/>
    <x v="0"/>
    <x v="1"/>
    <x v="4"/>
    <x v="2"/>
    <n v="59"/>
    <x v="1"/>
    <s v="Old"/>
    <x v="0"/>
  </r>
  <r>
    <n v="23358"/>
    <x v="0"/>
    <x v="1"/>
    <n v="60000"/>
    <x v="3"/>
    <x v="2"/>
    <s v="Professional"/>
    <x v="0"/>
    <x v="2"/>
    <x v="2"/>
    <x v="2"/>
    <n v="32"/>
    <x v="0"/>
    <s v="Millennials"/>
    <x v="1"/>
  </r>
  <r>
    <n v="20518"/>
    <x v="0"/>
    <x v="0"/>
    <n v="70000"/>
    <x v="4"/>
    <x v="1"/>
    <s v="Professional"/>
    <x v="0"/>
    <x v="1"/>
    <x v="4"/>
    <x v="2"/>
    <n v="58"/>
    <x v="1"/>
    <s v="Old"/>
    <x v="0"/>
  </r>
  <r>
    <n v="28026"/>
    <x v="0"/>
    <x v="0"/>
    <n v="40000"/>
    <x v="4"/>
    <x v="2"/>
    <s v="Professional"/>
    <x v="1"/>
    <x v="2"/>
    <x v="1"/>
    <x v="2"/>
    <n v="59"/>
    <x v="1"/>
    <s v="Old"/>
    <x v="0"/>
  </r>
  <r>
    <n v="11669"/>
    <x v="1"/>
    <x v="0"/>
    <n v="70000"/>
    <x v="4"/>
    <x v="0"/>
    <s v="Skilled Manual"/>
    <x v="0"/>
    <x v="1"/>
    <x v="1"/>
    <x v="2"/>
    <n v="38"/>
    <x v="0"/>
    <s v="Millennials"/>
    <x v="0"/>
  </r>
  <r>
    <n v="16020"/>
    <x v="0"/>
    <x v="1"/>
    <n v="40000"/>
    <x v="3"/>
    <x v="2"/>
    <s v="Skilled Manual"/>
    <x v="0"/>
    <x v="2"/>
    <x v="2"/>
    <x v="2"/>
    <n v="28"/>
    <x v="0"/>
    <s v="Millennials"/>
    <x v="1"/>
  </r>
  <r>
    <n v="27090"/>
    <x v="0"/>
    <x v="0"/>
    <n v="60000"/>
    <x v="0"/>
    <x v="4"/>
    <s v="Professional"/>
    <x v="0"/>
    <x v="0"/>
    <x v="1"/>
    <x v="2"/>
    <n v="37"/>
    <x v="0"/>
    <s v="Millennials"/>
    <x v="1"/>
  </r>
  <r>
    <n v="27198"/>
    <x v="1"/>
    <x v="0"/>
    <n v="80000"/>
    <x v="3"/>
    <x v="4"/>
    <s v="Skilled Manual"/>
    <x v="1"/>
    <x v="0"/>
    <x v="0"/>
    <x v="2"/>
    <n v="40"/>
    <x v="0"/>
    <s v="Millennials"/>
    <x v="0"/>
  </r>
  <r>
    <n v="19661"/>
    <x v="1"/>
    <x v="1"/>
    <n v="90000"/>
    <x v="5"/>
    <x v="0"/>
    <s v="Management"/>
    <x v="0"/>
    <x v="1"/>
    <x v="3"/>
    <x v="2"/>
    <n v="38"/>
    <x v="0"/>
    <s v="Millennials"/>
    <x v="1"/>
  </r>
  <r>
    <n v="26327"/>
    <x v="0"/>
    <x v="1"/>
    <n v="70000"/>
    <x v="5"/>
    <x v="4"/>
    <s v="Professional"/>
    <x v="0"/>
    <x v="0"/>
    <x v="1"/>
    <x v="2"/>
    <n v="36"/>
    <x v="0"/>
    <s v="Millennials"/>
    <x v="1"/>
  </r>
  <r>
    <n v="26341"/>
    <x v="0"/>
    <x v="0"/>
    <n v="70000"/>
    <x v="2"/>
    <x v="4"/>
    <s v="Professional"/>
    <x v="0"/>
    <x v="2"/>
    <x v="0"/>
    <x v="2"/>
    <n v="37"/>
    <x v="0"/>
    <s v="Millennials"/>
    <x v="0"/>
  </r>
  <r>
    <n v="24958"/>
    <x v="1"/>
    <x v="0"/>
    <n v="40000"/>
    <x v="2"/>
    <x v="2"/>
    <s v="Professional"/>
    <x v="1"/>
    <x v="4"/>
    <x v="1"/>
    <x v="2"/>
    <n v="60"/>
    <x v="1"/>
    <s v="Old"/>
    <x v="1"/>
  </r>
  <r>
    <n v="13287"/>
    <x v="1"/>
    <x v="1"/>
    <n v="110000"/>
    <x v="5"/>
    <x v="0"/>
    <s v="Management"/>
    <x v="0"/>
    <x v="3"/>
    <x v="2"/>
    <x v="2"/>
    <n v="42"/>
    <x v="0"/>
    <s v="Millennials"/>
    <x v="1"/>
  </r>
  <r>
    <n v="14493"/>
    <x v="1"/>
    <x v="0"/>
    <n v="70000"/>
    <x v="1"/>
    <x v="4"/>
    <s v="Management"/>
    <x v="1"/>
    <x v="2"/>
    <x v="3"/>
    <x v="2"/>
    <n v="53"/>
    <x v="2"/>
    <s v="Middle Age"/>
    <x v="0"/>
  </r>
  <r>
    <n v="26678"/>
    <x v="1"/>
    <x v="0"/>
    <n v="80000"/>
    <x v="4"/>
    <x v="3"/>
    <s v="Skilled Manual"/>
    <x v="0"/>
    <x v="2"/>
    <x v="2"/>
    <x v="2"/>
    <n v="49"/>
    <x v="2"/>
    <s v="Middle Age"/>
    <x v="0"/>
  </r>
  <r>
    <n v="23275"/>
    <x v="0"/>
    <x v="1"/>
    <n v="30000"/>
    <x v="4"/>
    <x v="2"/>
    <s v="Skilled Manual"/>
    <x v="0"/>
    <x v="2"/>
    <x v="3"/>
    <x v="2"/>
    <n v="49"/>
    <x v="2"/>
    <s v="Middle Age"/>
    <x v="0"/>
  </r>
  <r>
    <n v="11270"/>
    <x v="0"/>
    <x v="1"/>
    <n v="130000"/>
    <x v="4"/>
    <x v="4"/>
    <s v="Management"/>
    <x v="0"/>
    <x v="4"/>
    <x v="0"/>
    <x v="2"/>
    <n v="42"/>
    <x v="0"/>
    <s v="Millennials"/>
    <x v="1"/>
  </r>
  <r>
    <n v="20084"/>
    <x v="0"/>
    <x v="1"/>
    <n v="20000"/>
    <x v="4"/>
    <x v="2"/>
    <s v="Manual"/>
    <x v="1"/>
    <x v="2"/>
    <x v="0"/>
    <x v="2"/>
    <n v="53"/>
    <x v="2"/>
    <s v="Middle Age"/>
    <x v="0"/>
  </r>
  <r>
    <n v="16144"/>
    <x v="0"/>
    <x v="1"/>
    <n v="70000"/>
    <x v="0"/>
    <x v="4"/>
    <s v="Professional"/>
    <x v="0"/>
    <x v="1"/>
    <x v="0"/>
    <x v="2"/>
    <n v="46"/>
    <x v="2"/>
    <s v="Middle Age"/>
    <x v="1"/>
  </r>
  <r>
    <n v="27731"/>
    <x v="0"/>
    <x v="1"/>
    <n v="40000"/>
    <x v="3"/>
    <x v="2"/>
    <s v="Skilled Manual"/>
    <x v="0"/>
    <x v="2"/>
    <x v="2"/>
    <x v="2"/>
    <n v="27"/>
    <x v="0"/>
    <s v="Millennials"/>
    <x v="0"/>
  </r>
  <r>
    <n v="11886"/>
    <x v="0"/>
    <x v="0"/>
    <n v="60000"/>
    <x v="1"/>
    <x v="0"/>
    <s v="Professional"/>
    <x v="0"/>
    <x v="1"/>
    <x v="0"/>
    <x v="2"/>
    <n v="48"/>
    <x v="2"/>
    <s v="Middle Age"/>
    <x v="1"/>
  </r>
  <r>
    <n v="24324"/>
    <x v="1"/>
    <x v="0"/>
    <n v="60000"/>
    <x v="5"/>
    <x v="0"/>
    <s v="Skilled Manual"/>
    <x v="0"/>
    <x v="2"/>
    <x v="1"/>
    <x v="2"/>
    <n v="41"/>
    <x v="0"/>
    <s v="Millennials"/>
    <x v="1"/>
  </r>
  <r>
    <n v="22220"/>
    <x v="0"/>
    <x v="1"/>
    <n v="60000"/>
    <x v="4"/>
    <x v="2"/>
    <s v="Professional"/>
    <x v="1"/>
    <x v="2"/>
    <x v="3"/>
    <x v="2"/>
    <n v="49"/>
    <x v="2"/>
    <s v="Middle Age"/>
    <x v="1"/>
  </r>
  <r>
    <n v="26625"/>
    <x v="1"/>
    <x v="0"/>
    <n v="60000"/>
    <x v="3"/>
    <x v="4"/>
    <s v="Professional"/>
    <x v="0"/>
    <x v="1"/>
    <x v="1"/>
    <x v="2"/>
    <n v="38"/>
    <x v="0"/>
    <s v="Millennials"/>
    <x v="1"/>
  </r>
  <r>
    <n v="23027"/>
    <x v="1"/>
    <x v="1"/>
    <n v="130000"/>
    <x v="0"/>
    <x v="0"/>
    <s v="Management"/>
    <x v="1"/>
    <x v="3"/>
    <x v="0"/>
    <x v="2"/>
    <n v="44"/>
    <x v="0"/>
    <s v="Millennials"/>
    <x v="0"/>
  </r>
  <r>
    <n v="16867"/>
    <x v="1"/>
    <x v="0"/>
    <n v="130000"/>
    <x v="0"/>
    <x v="0"/>
    <s v="Management"/>
    <x v="1"/>
    <x v="4"/>
    <x v="0"/>
    <x v="2"/>
    <n v="45"/>
    <x v="2"/>
    <s v="Middle Age"/>
    <x v="1"/>
  </r>
  <r>
    <n v="14514"/>
    <x v="1"/>
    <x v="0"/>
    <n v="30000"/>
    <x v="3"/>
    <x v="1"/>
    <s v="Skilled Manual"/>
    <x v="0"/>
    <x v="1"/>
    <x v="2"/>
    <x v="2"/>
    <n v="26"/>
    <x v="0"/>
    <s v="Millennials"/>
    <x v="0"/>
  </r>
  <r>
    <n v="19634"/>
    <x v="0"/>
    <x v="1"/>
    <n v="40000"/>
    <x v="3"/>
    <x v="2"/>
    <s v="Skilled Manual"/>
    <x v="0"/>
    <x v="1"/>
    <x v="2"/>
    <x v="2"/>
    <n v="31"/>
    <x v="0"/>
    <s v="Millennials"/>
    <x v="0"/>
  </r>
  <r>
    <n v="18504"/>
    <x v="0"/>
    <x v="1"/>
    <n v="70000"/>
    <x v="4"/>
    <x v="3"/>
    <s v="Skilled Manual"/>
    <x v="1"/>
    <x v="2"/>
    <x v="3"/>
    <x v="2"/>
    <n v="49"/>
    <x v="2"/>
    <s v="Middle Age"/>
    <x v="0"/>
  </r>
  <r>
    <n v="28799"/>
    <x v="1"/>
    <x v="0"/>
    <n v="40000"/>
    <x v="4"/>
    <x v="1"/>
    <s v="Clerical"/>
    <x v="1"/>
    <x v="1"/>
    <x v="3"/>
    <x v="2"/>
    <n v="47"/>
    <x v="2"/>
    <s v="Middle Age"/>
    <x v="1"/>
  </r>
  <r>
    <n v="11225"/>
    <x v="0"/>
    <x v="0"/>
    <n v="60000"/>
    <x v="4"/>
    <x v="1"/>
    <s v="Professional"/>
    <x v="0"/>
    <x v="1"/>
    <x v="4"/>
    <x v="2"/>
    <n v="55"/>
    <x v="3"/>
    <s v="Late Middle Age"/>
    <x v="0"/>
  </r>
  <r>
    <n v="17657"/>
    <x v="0"/>
    <x v="1"/>
    <n v="40000"/>
    <x v="5"/>
    <x v="1"/>
    <s v="Clerical"/>
    <x v="1"/>
    <x v="0"/>
    <x v="0"/>
    <x v="2"/>
    <n v="30"/>
    <x v="0"/>
    <s v="Millennials"/>
    <x v="0"/>
  </r>
  <r>
    <n v="14913"/>
    <x v="0"/>
    <x v="0"/>
    <n v="40000"/>
    <x v="0"/>
    <x v="1"/>
    <s v="Clerical"/>
    <x v="0"/>
    <x v="1"/>
    <x v="3"/>
    <x v="2"/>
    <n v="48"/>
    <x v="2"/>
    <s v="Middle Age"/>
    <x v="1"/>
  </r>
  <r>
    <n v="14077"/>
    <x v="1"/>
    <x v="1"/>
    <n v="30000"/>
    <x v="3"/>
    <x v="2"/>
    <s v="Skilled Manual"/>
    <x v="0"/>
    <x v="2"/>
    <x v="2"/>
    <x v="2"/>
    <n v="30"/>
    <x v="0"/>
    <s v="Millennials"/>
    <x v="0"/>
  </r>
  <r>
    <n v="13296"/>
    <x v="0"/>
    <x v="1"/>
    <n v="110000"/>
    <x v="0"/>
    <x v="0"/>
    <s v="Management"/>
    <x v="0"/>
    <x v="4"/>
    <x v="2"/>
    <x v="2"/>
    <n v="45"/>
    <x v="2"/>
    <s v="Middle Age"/>
    <x v="0"/>
  </r>
  <r>
    <n v="20535"/>
    <x v="0"/>
    <x v="0"/>
    <n v="70000"/>
    <x v="5"/>
    <x v="1"/>
    <s v="Professional"/>
    <x v="0"/>
    <x v="1"/>
    <x v="4"/>
    <x v="2"/>
    <n v="56"/>
    <x v="1"/>
    <s v="Old"/>
    <x v="0"/>
  </r>
  <r>
    <n v="12452"/>
    <x v="0"/>
    <x v="1"/>
    <n v="60000"/>
    <x v="5"/>
    <x v="4"/>
    <s v="Skilled Manual"/>
    <x v="0"/>
    <x v="0"/>
    <x v="3"/>
    <x v="2"/>
    <n v="47"/>
    <x v="2"/>
    <s v="Middle Age"/>
    <x v="1"/>
  </r>
  <r>
    <n v="28043"/>
    <x v="0"/>
    <x v="0"/>
    <n v="60000"/>
    <x v="4"/>
    <x v="0"/>
    <s v="Management"/>
    <x v="0"/>
    <x v="0"/>
    <x v="4"/>
    <x v="2"/>
    <n v="56"/>
    <x v="1"/>
    <s v="Old"/>
    <x v="0"/>
  </r>
  <r>
    <n v="12957"/>
    <x v="1"/>
    <x v="0"/>
    <n v="70000"/>
    <x v="0"/>
    <x v="0"/>
    <s v="Professional"/>
    <x v="1"/>
    <x v="1"/>
    <x v="0"/>
    <x v="2"/>
    <n v="44"/>
    <x v="0"/>
    <s v="Millennials"/>
    <x v="0"/>
  </r>
  <r>
    <n v="15412"/>
    <x v="0"/>
    <x v="1"/>
    <n v="130000"/>
    <x v="4"/>
    <x v="4"/>
    <s v="Management"/>
    <x v="0"/>
    <x v="4"/>
    <x v="1"/>
    <x v="2"/>
    <n v="69"/>
    <x v="1"/>
    <s v="Old"/>
    <x v="0"/>
  </r>
  <r>
    <n v="20514"/>
    <x v="0"/>
    <x v="0"/>
    <n v="70000"/>
    <x v="4"/>
    <x v="1"/>
    <s v="Professional"/>
    <x v="0"/>
    <x v="1"/>
    <x v="1"/>
    <x v="2"/>
    <n v="59"/>
    <x v="1"/>
    <s v="Old"/>
    <x v="0"/>
  </r>
  <r>
    <n v="20758"/>
    <x v="0"/>
    <x v="1"/>
    <n v="30000"/>
    <x v="4"/>
    <x v="2"/>
    <s v="Skilled Manual"/>
    <x v="0"/>
    <x v="2"/>
    <x v="3"/>
    <x v="2"/>
    <n v="50"/>
    <x v="2"/>
    <s v="Middle Age"/>
    <x v="0"/>
  </r>
  <r>
    <n v="11801"/>
    <x v="0"/>
    <x v="1"/>
    <n v="60000"/>
    <x v="0"/>
    <x v="4"/>
    <s v="Professional"/>
    <x v="0"/>
    <x v="0"/>
    <x v="1"/>
    <x v="2"/>
    <n v="36"/>
    <x v="0"/>
    <s v="Millennials"/>
    <x v="0"/>
  </r>
  <r>
    <n v="22211"/>
    <x v="0"/>
    <x v="1"/>
    <n v="60000"/>
    <x v="3"/>
    <x v="1"/>
    <s v="Professional"/>
    <x v="0"/>
    <x v="2"/>
    <x v="2"/>
    <x v="2"/>
    <n v="32"/>
    <x v="0"/>
    <s v="Millennials"/>
    <x v="0"/>
  </r>
  <r>
    <n v="28087"/>
    <x v="1"/>
    <x v="0"/>
    <n v="40000"/>
    <x v="3"/>
    <x v="1"/>
    <s v="Skilled Manual"/>
    <x v="1"/>
    <x v="1"/>
    <x v="3"/>
    <x v="2"/>
    <n v="27"/>
    <x v="0"/>
    <s v="Millennials"/>
    <x v="0"/>
  </r>
  <r>
    <n v="23668"/>
    <x v="0"/>
    <x v="0"/>
    <n v="40000"/>
    <x v="5"/>
    <x v="2"/>
    <s v="Professional"/>
    <x v="0"/>
    <x v="2"/>
    <x v="2"/>
    <x v="2"/>
    <n v="59"/>
    <x v="1"/>
    <s v="Old"/>
    <x v="1"/>
  </r>
  <r>
    <n v="27441"/>
    <x v="0"/>
    <x v="1"/>
    <n v="60000"/>
    <x v="1"/>
    <x v="2"/>
    <s v="Professional"/>
    <x v="1"/>
    <x v="2"/>
    <x v="1"/>
    <x v="2"/>
    <n v="53"/>
    <x v="2"/>
    <s v="Middle Age"/>
    <x v="0"/>
  </r>
  <r>
    <n v="27261"/>
    <x v="0"/>
    <x v="1"/>
    <n v="40000"/>
    <x v="0"/>
    <x v="0"/>
    <s v="Skilled Manual"/>
    <x v="1"/>
    <x v="1"/>
    <x v="0"/>
    <x v="2"/>
    <n v="36"/>
    <x v="0"/>
    <s v="Millennials"/>
    <x v="1"/>
  </r>
  <r>
    <n v="18649"/>
    <x v="1"/>
    <x v="1"/>
    <n v="30000"/>
    <x v="0"/>
    <x v="2"/>
    <s v="Clerical"/>
    <x v="0"/>
    <x v="2"/>
    <x v="3"/>
    <x v="2"/>
    <n v="51"/>
    <x v="2"/>
    <s v="Middle Age"/>
    <x v="1"/>
  </r>
  <r>
    <n v="21714"/>
    <x v="1"/>
    <x v="0"/>
    <n v="80000"/>
    <x v="2"/>
    <x v="4"/>
    <s v="Skilled Manual"/>
    <x v="1"/>
    <x v="0"/>
    <x v="0"/>
    <x v="2"/>
    <n v="47"/>
    <x v="2"/>
    <s v="Middle Age"/>
    <x v="0"/>
  </r>
  <r>
    <n v="23217"/>
    <x v="1"/>
    <x v="0"/>
    <n v="60000"/>
    <x v="1"/>
    <x v="4"/>
    <s v="Professional"/>
    <x v="0"/>
    <x v="0"/>
    <x v="1"/>
    <x v="2"/>
    <n v="43"/>
    <x v="0"/>
    <s v="Millennials"/>
    <x v="1"/>
  </r>
  <r>
    <n v="23797"/>
    <x v="1"/>
    <x v="1"/>
    <n v="20000"/>
    <x v="1"/>
    <x v="3"/>
    <s v="Clerical"/>
    <x v="1"/>
    <x v="2"/>
    <x v="0"/>
    <x v="2"/>
    <n v="50"/>
    <x v="2"/>
    <s v="Middle Age"/>
    <x v="0"/>
  </r>
  <r>
    <n v="13216"/>
    <x v="0"/>
    <x v="0"/>
    <n v="60000"/>
    <x v="2"/>
    <x v="0"/>
    <s v="Management"/>
    <x v="0"/>
    <x v="4"/>
    <x v="4"/>
    <x v="2"/>
    <n v="59"/>
    <x v="1"/>
    <s v="Old"/>
    <x v="0"/>
  </r>
  <r>
    <n v="20657"/>
    <x v="1"/>
    <x v="1"/>
    <n v="50000"/>
    <x v="4"/>
    <x v="0"/>
    <s v="Skilled Manual"/>
    <x v="0"/>
    <x v="0"/>
    <x v="1"/>
    <x v="2"/>
    <n v="37"/>
    <x v="0"/>
    <s v="Millennials"/>
    <x v="1"/>
  </r>
  <r>
    <n v="12882"/>
    <x v="0"/>
    <x v="1"/>
    <n v="50000"/>
    <x v="0"/>
    <x v="4"/>
    <s v="Skilled Manual"/>
    <x v="0"/>
    <x v="0"/>
    <x v="0"/>
    <x v="2"/>
    <n v="33"/>
    <x v="0"/>
    <s v="Millennials"/>
    <x v="1"/>
  </r>
  <r>
    <n v="25908"/>
    <x v="0"/>
    <x v="0"/>
    <n v="60000"/>
    <x v="3"/>
    <x v="1"/>
    <s v="Skilled Manual"/>
    <x v="1"/>
    <x v="1"/>
    <x v="3"/>
    <x v="2"/>
    <n v="27"/>
    <x v="0"/>
    <s v="Millennials"/>
    <x v="0"/>
  </r>
  <r>
    <n v="16753"/>
    <x v="1"/>
    <x v="0"/>
    <n v="70000"/>
    <x v="3"/>
    <x v="1"/>
    <s v="Skilled Manual"/>
    <x v="0"/>
    <x v="2"/>
    <x v="2"/>
    <x v="2"/>
    <n v="34"/>
    <x v="0"/>
    <s v="Millennials"/>
    <x v="1"/>
  </r>
  <r>
    <n v="14608"/>
    <x v="0"/>
    <x v="1"/>
    <n v="50000"/>
    <x v="5"/>
    <x v="0"/>
    <s v="Skilled Manual"/>
    <x v="0"/>
    <x v="4"/>
    <x v="4"/>
    <x v="2"/>
    <n v="42"/>
    <x v="0"/>
    <s v="Millennials"/>
    <x v="0"/>
  </r>
  <r>
    <n v="24979"/>
    <x v="0"/>
    <x v="0"/>
    <n v="60000"/>
    <x v="4"/>
    <x v="1"/>
    <s v="Professional"/>
    <x v="0"/>
    <x v="2"/>
    <x v="1"/>
    <x v="2"/>
    <n v="57"/>
    <x v="1"/>
    <s v="Old"/>
    <x v="1"/>
  </r>
  <r>
    <n v="13313"/>
    <x v="0"/>
    <x v="0"/>
    <n v="120000"/>
    <x v="0"/>
    <x v="2"/>
    <s v="Professional"/>
    <x v="1"/>
    <x v="3"/>
    <x v="1"/>
    <x v="2"/>
    <n v="45"/>
    <x v="2"/>
    <s v="Middle Age"/>
    <x v="0"/>
  </r>
  <r>
    <n v="18952"/>
    <x v="0"/>
    <x v="0"/>
    <n v="100000"/>
    <x v="5"/>
    <x v="0"/>
    <s v="Management"/>
    <x v="0"/>
    <x v="3"/>
    <x v="0"/>
    <x v="2"/>
    <n v="40"/>
    <x v="0"/>
    <s v="Millennials"/>
    <x v="0"/>
  </r>
  <r>
    <n v="17699"/>
    <x v="0"/>
    <x v="1"/>
    <n v="60000"/>
    <x v="0"/>
    <x v="4"/>
    <s v="Skilled Manual"/>
    <x v="1"/>
    <x v="0"/>
    <x v="0"/>
    <x v="2"/>
    <n v="55"/>
    <x v="3"/>
    <s v="Late Middle Age"/>
    <x v="0"/>
  </r>
  <r>
    <n v="14657"/>
    <x v="0"/>
    <x v="1"/>
    <n v="80000"/>
    <x v="0"/>
    <x v="1"/>
    <s v="Skilled Manual"/>
    <x v="1"/>
    <x v="1"/>
    <x v="0"/>
    <x v="2"/>
    <n v="47"/>
    <x v="2"/>
    <s v="Middle Age"/>
    <x v="1"/>
  </r>
  <r>
    <n v="11540"/>
    <x v="1"/>
    <x v="1"/>
    <n v="60000"/>
    <x v="5"/>
    <x v="4"/>
    <s v="Skilled Manual"/>
    <x v="0"/>
    <x v="0"/>
    <x v="3"/>
    <x v="2"/>
    <n v="47"/>
    <x v="2"/>
    <s v="Middle Age"/>
    <x v="1"/>
  </r>
  <r>
    <n v="11783"/>
    <x v="0"/>
    <x v="0"/>
    <n v="60000"/>
    <x v="0"/>
    <x v="4"/>
    <s v="Skilled Manual"/>
    <x v="0"/>
    <x v="0"/>
    <x v="0"/>
    <x v="2"/>
    <n v="34"/>
    <x v="0"/>
    <s v="Millennials"/>
    <x v="0"/>
  </r>
  <r>
    <n v="14602"/>
    <x v="0"/>
    <x v="0"/>
    <n v="80000"/>
    <x v="1"/>
    <x v="4"/>
    <s v="Professional"/>
    <x v="0"/>
    <x v="0"/>
    <x v="0"/>
    <x v="2"/>
    <n v="36"/>
    <x v="0"/>
    <s v="Millennials"/>
    <x v="1"/>
  </r>
  <r>
    <n v="29030"/>
    <x v="0"/>
    <x v="1"/>
    <n v="70000"/>
    <x v="4"/>
    <x v="3"/>
    <s v="Skilled Manual"/>
    <x v="0"/>
    <x v="2"/>
    <x v="4"/>
    <x v="2"/>
    <n v="54"/>
    <x v="2"/>
    <s v="Middle Age"/>
    <x v="0"/>
  </r>
  <r>
    <n v="26490"/>
    <x v="1"/>
    <x v="1"/>
    <n v="70000"/>
    <x v="4"/>
    <x v="0"/>
    <s v="Management"/>
    <x v="1"/>
    <x v="1"/>
    <x v="1"/>
    <x v="2"/>
    <n v="59"/>
    <x v="1"/>
    <s v="Old"/>
    <x v="1"/>
  </r>
  <r>
    <n v="13151"/>
    <x v="1"/>
    <x v="1"/>
    <n v="40000"/>
    <x v="3"/>
    <x v="2"/>
    <s v="Skilled Manual"/>
    <x v="0"/>
    <x v="2"/>
    <x v="2"/>
    <x v="2"/>
    <n v="27"/>
    <x v="0"/>
    <s v="Millennials"/>
    <x v="0"/>
  </r>
  <r>
    <n v="17260"/>
    <x v="0"/>
    <x v="1"/>
    <n v="90000"/>
    <x v="2"/>
    <x v="1"/>
    <s v="Professional"/>
    <x v="0"/>
    <x v="4"/>
    <x v="0"/>
    <x v="2"/>
    <n v="41"/>
    <x v="0"/>
    <s v="Millennials"/>
    <x v="0"/>
  </r>
  <r>
    <n v="15372"/>
    <x v="0"/>
    <x v="1"/>
    <n v="80000"/>
    <x v="1"/>
    <x v="1"/>
    <s v="Professional"/>
    <x v="1"/>
    <x v="2"/>
    <x v="1"/>
    <x v="2"/>
    <n v="50"/>
    <x v="2"/>
    <s v="Middle Age"/>
    <x v="1"/>
  </r>
  <r>
    <n v="18105"/>
    <x v="0"/>
    <x v="0"/>
    <n v="60000"/>
    <x v="4"/>
    <x v="1"/>
    <s v="Professional"/>
    <x v="0"/>
    <x v="1"/>
    <x v="4"/>
    <x v="2"/>
    <n v="55"/>
    <x v="3"/>
    <s v="Late Middle Age"/>
    <x v="0"/>
  </r>
  <r>
    <n v="19660"/>
    <x v="0"/>
    <x v="1"/>
    <n v="80000"/>
    <x v="5"/>
    <x v="0"/>
    <s v="Management"/>
    <x v="0"/>
    <x v="0"/>
    <x v="0"/>
    <x v="2"/>
    <n v="43"/>
    <x v="0"/>
    <s v="Millennials"/>
    <x v="0"/>
  </r>
  <r>
    <n v="16112"/>
    <x v="1"/>
    <x v="1"/>
    <n v="70000"/>
    <x v="5"/>
    <x v="0"/>
    <s v="Professional"/>
    <x v="0"/>
    <x v="2"/>
    <x v="1"/>
    <x v="2"/>
    <n v="43"/>
    <x v="0"/>
    <s v="Millennials"/>
    <x v="1"/>
  </r>
  <r>
    <n v="20698"/>
    <x v="0"/>
    <x v="1"/>
    <n v="60000"/>
    <x v="5"/>
    <x v="0"/>
    <s v="Skilled Manual"/>
    <x v="0"/>
    <x v="4"/>
    <x v="2"/>
    <x v="2"/>
    <n v="42"/>
    <x v="0"/>
    <s v="Millennials"/>
    <x v="0"/>
  </r>
  <r>
    <n v="20076"/>
    <x v="1"/>
    <x v="0"/>
    <n v="10000"/>
    <x v="4"/>
    <x v="2"/>
    <s v="Manual"/>
    <x v="0"/>
    <x v="2"/>
    <x v="3"/>
    <x v="2"/>
    <n v="53"/>
    <x v="2"/>
    <s v="Middle Age"/>
    <x v="1"/>
  </r>
  <r>
    <n v="24496"/>
    <x v="1"/>
    <x v="0"/>
    <n v="40000"/>
    <x v="3"/>
    <x v="2"/>
    <s v="Skilled Manual"/>
    <x v="1"/>
    <x v="2"/>
    <x v="0"/>
    <x v="2"/>
    <n v="28"/>
    <x v="0"/>
    <s v="Millennials"/>
    <x v="1"/>
  </r>
  <r>
    <n v="15468"/>
    <x v="0"/>
    <x v="0"/>
    <n v="50000"/>
    <x v="0"/>
    <x v="0"/>
    <s v="Skilled Manual"/>
    <x v="0"/>
    <x v="1"/>
    <x v="0"/>
    <x v="2"/>
    <n v="35"/>
    <x v="0"/>
    <s v="Millennials"/>
    <x v="0"/>
  </r>
  <r>
    <n v="28031"/>
    <x v="1"/>
    <x v="0"/>
    <n v="70000"/>
    <x v="4"/>
    <x v="0"/>
    <s v="Management"/>
    <x v="1"/>
    <x v="1"/>
    <x v="1"/>
    <x v="2"/>
    <n v="59"/>
    <x v="1"/>
    <s v="Old"/>
    <x v="1"/>
  </r>
  <r>
    <n v="26270"/>
    <x v="1"/>
    <x v="0"/>
    <n v="20000"/>
    <x v="4"/>
    <x v="3"/>
    <s v="Clerical"/>
    <x v="0"/>
    <x v="2"/>
    <x v="3"/>
    <x v="2"/>
    <n v="49"/>
    <x v="2"/>
    <s v="Middle Age"/>
    <x v="0"/>
  </r>
  <r>
    <n v="22221"/>
    <x v="0"/>
    <x v="1"/>
    <n v="60000"/>
    <x v="4"/>
    <x v="2"/>
    <s v="Professional"/>
    <x v="1"/>
    <x v="2"/>
    <x v="3"/>
    <x v="2"/>
    <n v="48"/>
    <x v="2"/>
    <s v="Middle Age"/>
    <x v="1"/>
  </r>
  <r>
    <n v="28228"/>
    <x v="1"/>
    <x v="0"/>
    <n v="80000"/>
    <x v="4"/>
    <x v="3"/>
    <s v="Skilled Manual"/>
    <x v="1"/>
    <x v="2"/>
    <x v="3"/>
    <x v="2"/>
    <n v="50"/>
    <x v="2"/>
    <s v="Middle Age"/>
    <x v="0"/>
  </r>
  <r>
    <n v="18363"/>
    <x v="0"/>
    <x v="1"/>
    <n v="40000"/>
    <x v="3"/>
    <x v="2"/>
    <s v="Skilled Manual"/>
    <x v="0"/>
    <x v="2"/>
    <x v="2"/>
    <x v="2"/>
    <n v="28"/>
    <x v="0"/>
    <s v="Millennials"/>
    <x v="1"/>
  </r>
  <r>
    <n v="23256"/>
    <x v="1"/>
    <x v="1"/>
    <n v="30000"/>
    <x v="0"/>
    <x v="2"/>
    <s v="Clerical"/>
    <x v="1"/>
    <x v="1"/>
    <x v="2"/>
    <x v="2"/>
    <n v="52"/>
    <x v="2"/>
    <s v="Middle Age"/>
    <x v="0"/>
  </r>
  <r>
    <n v="12768"/>
    <x v="0"/>
    <x v="1"/>
    <n v="30000"/>
    <x v="0"/>
    <x v="2"/>
    <s v="Clerical"/>
    <x v="0"/>
    <x v="1"/>
    <x v="1"/>
    <x v="2"/>
    <n v="52"/>
    <x v="2"/>
    <s v="Middle Age"/>
    <x v="1"/>
  </r>
  <r>
    <n v="20361"/>
    <x v="0"/>
    <x v="1"/>
    <n v="50000"/>
    <x v="4"/>
    <x v="4"/>
    <s v="Management"/>
    <x v="0"/>
    <x v="2"/>
    <x v="2"/>
    <x v="2"/>
    <n v="69"/>
    <x v="1"/>
    <s v="Old"/>
    <x v="0"/>
  </r>
  <r>
    <n v="21306"/>
    <x v="1"/>
    <x v="1"/>
    <n v="60000"/>
    <x v="4"/>
    <x v="2"/>
    <s v="Professional"/>
    <x v="0"/>
    <x v="2"/>
    <x v="2"/>
    <x v="2"/>
    <n v="51"/>
    <x v="2"/>
    <s v="Middle Age"/>
    <x v="0"/>
  </r>
  <r>
    <n v="13382"/>
    <x v="0"/>
    <x v="1"/>
    <n v="70000"/>
    <x v="2"/>
    <x v="1"/>
    <s v="Professional"/>
    <x v="0"/>
    <x v="2"/>
    <x v="3"/>
    <x v="2"/>
    <n v="57"/>
    <x v="1"/>
    <s v="Old"/>
    <x v="1"/>
  </r>
  <r>
    <n v="20310"/>
    <x v="1"/>
    <x v="1"/>
    <n v="60000"/>
    <x v="3"/>
    <x v="1"/>
    <s v="Skilled Manual"/>
    <x v="0"/>
    <x v="1"/>
    <x v="2"/>
    <x v="2"/>
    <n v="27"/>
    <x v="0"/>
    <s v="Millennials"/>
    <x v="1"/>
  </r>
  <r>
    <n v="22971"/>
    <x v="1"/>
    <x v="0"/>
    <n v="30000"/>
    <x v="3"/>
    <x v="2"/>
    <s v="Skilled Manual"/>
    <x v="1"/>
    <x v="2"/>
    <x v="0"/>
    <x v="2"/>
    <n v="25"/>
    <x v="0"/>
    <s v="Millennials"/>
    <x v="1"/>
  </r>
  <r>
    <n v="15287"/>
    <x v="1"/>
    <x v="0"/>
    <n v="50000"/>
    <x v="0"/>
    <x v="4"/>
    <s v="Skilled Manual"/>
    <x v="0"/>
    <x v="0"/>
    <x v="3"/>
    <x v="2"/>
    <n v="33"/>
    <x v="0"/>
    <s v="Millennials"/>
    <x v="1"/>
  </r>
  <r>
    <n v="15532"/>
    <x v="1"/>
    <x v="1"/>
    <n v="60000"/>
    <x v="5"/>
    <x v="0"/>
    <s v="Professional"/>
    <x v="0"/>
    <x v="2"/>
    <x v="1"/>
    <x v="2"/>
    <n v="43"/>
    <x v="0"/>
    <s v="Millennials"/>
    <x v="1"/>
  </r>
  <r>
    <n v="11255"/>
    <x v="0"/>
    <x v="1"/>
    <n v="70000"/>
    <x v="5"/>
    <x v="4"/>
    <s v="Management"/>
    <x v="0"/>
    <x v="2"/>
    <x v="2"/>
    <x v="2"/>
    <n v="73"/>
    <x v="1"/>
    <s v="Old"/>
    <x v="0"/>
  </r>
  <r>
    <n v="28090"/>
    <x v="0"/>
    <x v="1"/>
    <n v="40000"/>
    <x v="3"/>
    <x v="1"/>
    <s v="Skilled Manual"/>
    <x v="0"/>
    <x v="1"/>
    <x v="2"/>
    <x v="2"/>
    <n v="27"/>
    <x v="0"/>
    <s v="Millennials"/>
    <x v="0"/>
  </r>
  <r>
    <n v="15255"/>
    <x v="0"/>
    <x v="1"/>
    <n v="40000"/>
    <x v="3"/>
    <x v="2"/>
    <s v="Skilled Manual"/>
    <x v="0"/>
    <x v="2"/>
    <x v="2"/>
    <x v="2"/>
    <n v="28"/>
    <x v="0"/>
    <s v="Millennials"/>
    <x v="1"/>
  </r>
  <r>
    <n v="13154"/>
    <x v="0"/>
    <x v="1"/>
    <n v="40000"/>
    <x v="3"/>
    <x v="2"/>
    <s v="Skilled Manual"/>
    <x v="1"/>
    <x v="2"/>
    <x v="0"/>
    <x v="2"/>
    <n v="27"/>
    <x v="0"/>
    <s v="Millennials"/>
    <x v="1"/>
  </r>
  <r>
    <n v="26778"/>
    <x v="1"/>
    <x v="0"/>
    <n v="40000"/>
    <x v="3"/>
    <x v="2"/>
    <s v="Skilled Manual"/>
    <x v="0"/>
    <x v="2"/>
    <x v="2"/>
    <x v="2"/>
    <n v="31"/>
    <x v="0"/>
    <s v="Millennials"/>
    <x v="0"/>
  </r>
  <r>
    <n v="23248"/>
    <x v="0"/>
    <x v="0"/>
    <n v="10000"/>
    <x v="4"/>
    <x v="2"/>
    <s v="Manual"/>
    <x v="0"/>
    <x v="2"/>
    <x v="3"/>
    <x v="2"/>
    <n v="53"/>
    <x v="2"/>
    <s v="Middle Age"/>
    <x v="0"/>
  </r>
  <r>
    <n v="21417"/>
    <x v="1"/>
    <x v="0"/>
    <n v="60000"/>
    <x v="3"/>
    <x v="1"/>
    <s v="Professional"/>
    <x v="1"/>
    <x v="2"/>
    <x v="3"/>
    <x v="2"/>
    <n v="32"/>
    <x v="0"/>
    <s v="Millennials"/>
    <x v="1"/>
  </r>
  <r>
    <n v="17668"/>
    <x v="1"/>
    <x v="1"/>
    <n v="30000"/>
    <x v="4"/>
    <x v="2"/>
    <s v="Skilled Manual"/>
    <x v="0"/>
    <x v="2"/>
    <x v="3"/>
    <x v="2"/>
    <n v="50"/>
    <x v="2"/>
    <s v="Middle Age"/>
    <x v="1"/>
  </r>
  <r>
    <n v="27994"/>
    <x v="0"/>
    <x v="0"/>
    <n v="40000"/>
    <x v="5"/>
    <x v="2"/>
    <s v="Professional"/>
    <x v="0"/>
    <x v="2"/>
    <x v="2"/>
    <x v="2"/>
    <n v="69"/>
    <x v="1"/>
    <s v="Old"/>
    <x v="0"/>
  </r>
  <r>
    <n v="20376"/>
    <x v="1"/>
    <x v="0"/>
    <n v="70000"/>
    <x v="1"/>
    <x v="4"/>
    <s v="Management"/>
    <x v="0"/>
    <x v="2"/>
    <x v="2"/>
    <x v="2"/>
    <n v="52"/>
    <x v="2"/>
    <s v="Middle Age"/>
    <x v="1"/>
  </r>
  <r>
    <n v="25954"/>
    <x v="0"/>
    <x v="1"/>
    <n v="60000"/>
    <x v="3"/>
    <x v="1"/>
    <s v="Skilled Manual"/>
    <x v="1"/>
    <x v="2"/>
    <x v="3"/>
    <x v="2"/>
    <n v="31"/>
    <x v="0"/>
    <s v="Millennials"/>
    <x v="0"/>
  </r>
  <r>
    <n v="15749"/>
    <x v="1"/>
    <x v="0"/>
    <n v="70000"/>
    <x v="5"/>
    <x v="0"/>
    <s v="Management"/>
    <x v="0"/>
    <x v="2"/>
    <x v="4"/>
    <x v="2"/>
    <n v="61"/>
    <x v="1"/>
    <s v="Old"/>
    <x v="0"/>
  </r>
  <r>
    <n v="25899"/>
    <x v="0"/>
    <x v="0"/>
    <n v="70000"/>
    <x v="4"/>
    <x v="2"/>
    <s v="Professional"/>
    <x v="0"/>
    <x v="2"/>
    <x v="4"/>
    <x v="2"/>
    <n v="53"/>
    <x v="2"/>
    <s v="Middle Age"/>
    <x v="0"/>
  </r>
  <r>
    <n v="13351"/>
    <x v="1"/>
    <x v="0"/>
    <n v="70000"/>
    <x v="5"/>
    <x v="0"/>
    <s v="Management"/>
    <x v="0"/>
    <x v="2"/>
    <x v="3"/>
    <x v="2"/>
    <n v="62"/>
    <x v="1"/>
    <s v="Old"/>
    <x v="1"/>
  </r>
  <r>
    <n v="23333"/>
    <x v="0"/>
    <x v="1"/>
    <n v="40000"/>
    <x v="3"/>
    <x v="1"/>
    <s v="Skilled Manual"/>
    <x v="1"/>
    <x v="2"/>
    <x v="3"/>
    <x v="2"/>
    <n v="30"/>
    <x v="0"/>
    <s v="Millennials"/>
    <x v="0"/>
  </r>
  <r>
    <n v="21660"/>
    <x v="0"/>
    <x v="0"/>
    <n v="60000"/>
    <x v="1"/>
    <x v="4"/>
    <s v="Professional"/>
    <x v="0"/>
    <x v="0"/>
    <x v="1"/>
    <x v="2"/>
    <n v="43"/>
    <x v="0"/>
    <s v="Millennials"/>
    <x v="1"/>
  </r>
  <r>
    <n v="17012"/>
    <x v="0"/>
    <x v="0"/>
    <n v="60000"/>
    <x v="1"/>
    <x v="4"/>
    <s v="Professional"/>
    <x v="0"/>
    <x v="0"/>
    <x v="1"/>
    <x v="2"/>
    <n v="42"/>
    <x v="0"/>
    <s v="Millennials"/>
    <x v="1"/>
  </r>
  <r>
    <n v="24514"/>
    <x v="0"/>
    <x v="1"/>
    <n v="40000"/>
    <x v="3"/>
    <x v="1"/>
    <s v="Skilled Manual"/>
    <x v="0"/>
    <x v="1"/>
    <x v="2"/>
    <x v="2"/>
    <n v="30"/>
    <x v="0"/>
    <s v="Millennials"/>
    <x v="0"/>
  </r>
  <r>
    <n v="27505"/>
    <x v="1"/>
    <x v="0"/>
    <n v="40000"/>
    <x v="3"/>
    <x v="2"/>
    <s v="Skilled Manual"/>
    <x v="0"/>
    <x v="2"/>
    <x v="2"/>
    <x v="2"/>
    <n v="30"/>
    <x v="0"/>
    <s v="Millennials"/>
    <x v="0"/>
  </r>
  <r>
    <n v="29243"/>
    <x v="1"/>
    <x v="1"/>
    <n v="110000"/>
    <x v="0"/>
    <x v="0"/>
    <s v="Management"/>
    <x v="0"/>
    <x v="1"/>
    <x v="2"/>
    <x v="2"/>
    <n v="43"/>
    <x v="0"/>
    <s v="Millennials"/>
    <x v="0"/>
  </r>
  <r>
    <n v="26582"/>
    <x v="0"/>
    <x v="1"/>
    <n v="60000"/>
    <x v="3"/>
    <x v="1"/>
    <s v="Skilled Manual"/>
    <x v="0"/>
    <x v="2"/>
    <x v="2"/>
    <x v="2"/>
    <n v="33"/>
    <x v="0"/>
    <s v="Millennials"/>
    <x v="1"/>
  </r>
  <r>
    <n v="14271"/>
    <x v="0"/>
    <x v="1"/>
    <n v="30000"/>
    <x v="3"/>
    <x v="2"/>
    <s v="Skilled Manual"/>
    <x v="0"/>
    <x v="2"/>
    <x v="2"/>
    <x v="2"/>
    <n v="32"/>
    <x v="0"/>
    <s v="Millennials"/>
    <x v="0"/>
  </r>
  <r>
    <n v="23041"/>
    <x v="1"/>
    <x v="0"/>
    <n v="70000"/>
    <x v="5"/>
    <x v="2"/>
    <s v="Professional"/>
    <x v="0"/>
    <x v="0"/>
    <x v="2"/>
    <x v="2"/>
    <n v="50"/>
    <x v="2"/>
    <s v="Middle Age"/>
    <x v="1"/>
  </r>
  <r>
    <n v="29048"/>
    <x v="1"/>
    <x v="1"/>
    <n v="110000"/>
    <x v="4"/>
    <x v="0"/>
    <s v="Management"/>
    <x v="1"/>
    <x v="4"/>
    <x v="0"/>
    <x v="2"/>
    <n v="37"/>
    <x v="0"/>
    <s v="Millennials"/>
    <x v="1"/>
  </r>
  <r>
    <n v="24433"/>
    <x v="0"/>
    <x v="1"/>
    <n v="70000"/>
    <x v="1"/>
    <x v="2"/>
    <s v="Professional"/>
    <x v="1"/>
    <x v="1"/>
    <x v="3"/>
    <x v="2"/>
    <n v="52"/>
    <x v="2"/>
    <s v="Middle Age"/>
    <x v="1"/>
  </r>
  <r>
    <n v="15501"/>
    <x v="0"/>
    <x v="1"/>
    <n v="70000"/>
    <x v="5"/>
    <x v="4"/>
    <s v="Professional"/>
    <x v="0"/>
    <x v="0"/>
    <x v="1"/>
    <x v="2"/>
    <n v="36"/>
    <x v="0"/>
    <s v="Millennials"/>
    <x v="1"/>
  </r>
  <r>
    <n v="13911"/>
    <x v="1"/>
    <x v="0"/>
    <n v="80000"/>
    <x v="1"/>
    <x v="0"/>
    <s v="Skilled Manual"/>
    <x v="0"/>
    <x v="2"/>
    <x v="1"/>
    <x v="2"/>
    <n v="41"/>
    <x v="0"/>
    <s v="Millennials"/>
    <x v="1"/>
  </r>
  <r>
    <n v="20421"/>
    <x v="1"/>
    <x v="0"/>
    <n v="40000"/>
    <x v="3"/>
    <x v="3"/>
    <s v="Clerical"/>
    <x v="0"/>
    <x v="2"/>
    <x v="2"/>
    <x v="2"/>
    <n v="26"/>
    <x v="0"/>
    <s v="Millennials"/>
    <x v="0"/>
  </r>
  <r>
    <n v="16009"/>
    <x v="1"/>
    <x v="1"/>
    <n v="170000"/>
    <x v="0"/>
    <x v="4"/>
    <s v="Management"/>
    <x v="1"/>
    <x v="3"/>
    <x v="0"/>
    <x v="2"/>
    <n v="66"/>
    <x v="1"/>
    <s v="Old"/>
    <x v="0"/>
  </r>
  <r>
    <n v="18411"/>
    <x v="0"/>
    <x v="1"/>
    <n v="60000"/>
    <x v="4"/>
    <x v="2"/>
    <s v="Professional"/>
    <x v="1"/>
    <x v="2"/>
    <x v="2"/>
    <x v="2"/>
    <n v="51"/>
    <x v="2"/>
    <s v="Middle Age"/>
    <x v="0"/>
  </r>
  <r>
    <n v="19163"/>
    <x v="0"/>
    <x v="0"/>
    <n v="70000"/>
    <x v="5"/>
    <x v="0"/>
    <s v="Professional"/>
    <x v="0"/>
    <x v="2"/>
    <x v="0"/>
    <x v="2"/>
    <n v="43"/>
    <x v="0"/>
    <s v="Millennials"/>
    <x v="1"/>
  </r>
  <r>
    <n v="18572"/>
    <x v="0"/>
    <x v="0"/>
    <n v="60000"/>
    <x v="3"/>
    <x v="4"/>
    <s v="Professional"/>
    <x v="0"/>
    <x v="0"/>
    <x v="0"/>
    <x v="2"/>
    <n v="39"/>
    <x v="0"/>
    <s v="Millennials"/>
    <x v="0"/>
  </r>
  <r>
    <n v="27540"/>
    <x v="1"/>
    <x v="0"/>
    <n v="70000"/>
    <x v="3"/>
    <x v="0"/>
    <s v="Professional"/>
    <x v="1"/>
    <x v="1"/>
    <x v="0"/>
    <x v="2"/>
    <n v="37"/>
    <x v="0"/>
    <s v="Millennials"/>
    <x v="1"/>
  </r>
  <r>
    <n v="19889"/>
    <x v="1"/>
    <x v="0"/>
    <n v="70000"/>
    <x v="4"/>
    <x v="3"/>
    <s v="Skilled Manual"/>
    <x v="1"/>
    <x v="2"/>
    <x v="1"/>
    <x v="2"/>
    <n v="54"/>
    <x v="2"/>
    <s v="Middle Age"/>
    <x v="1"/>
  </r>
  <r>
    <n v="12922"/>
    <x v="1"/>
    <x v="0"/>
    <n v="60000"/>
    <x v="1"/>
    <x v="0"/>
    <s v="Skilled Manual"/>
    <x v="0"/>
    <x v="0"/>
    <x v="1"/>
    <x v="2"/>
    <n v="40"/>
    <x v="0"/>
    <s v="Millennials"/>
    <x v="1"/>
  </r>
  <r>
    <n v="18891"/>
    <x v="0"/>
    <x v="0"/>
    <n v="40000"/>
    <x v="3"/>
    <x v="1"/>
    <s v="Skilled Manual"/>
    <x v="0"/>
    <x v="2"/>
    <x v="2"/>
    <x v="2"/>
    <n v="28"/>
    <x v="0"/>
    <s v="Millennials"/>
    <x v="0"/>
  </r>
  <r>
    <n v="16773"/>
    <x v="0"/>
    <x v="1"/>
    <n v="60000"/>
    <x v="0"/>
    <x v="4"/>
    <s v="Skilled Manual"/>
    <x v="0"/>
    <x v="0"/>
    <x v="0"/>
    <x v="2"/>
    <n v="33"/>
    <x v="0"/>
    <s v="Millennials"/>
    <x v="0"/>
  </r>
  <r>
    <n v="19143"/>
    <x v="1"/>
    <x v="0"/>
    <n v="80000"/>
    <x v="1"/>
    <x v="0"/>
    <s v="Skilled Manual"/>
    <x v="0"/>
    <x v="2"/>
    <x v="1"/>
    <x v="2"/>
    <n v="41"/>
    <x v="0"/>
    <s v="Millennials"/>
    <x v="1"/>
  </r>
  <r>
    <n v="23882"/>
    <x v="1"/>
    <x v="0"/>
    <n v="80000"/>
    <x v="1"/>
    <x v="4"/>
    <s v="Professional"/>
    <x v="0"/>
    <x v="0"/>
    <x v="0"/>
    <x v="2"/>
    <n v="37"/>
    <x v="0"/>
    <s v="Millennials"/>
    <x v="1"/>
  </r>
  <r>
    <n v="11233"/>
    <x v="0"/>
    <x v="1"/>
    <n v="70000"/>
    <x v="5"/>
    <x v="1"/>
    <s v="Professional"/>
    <x v="0"/>
    <x v="2"/>
    <x v="4"/>
    <x v="2"/>
    <n v="53"/>
    <x v="2"/>
    <s v="Middle Age"/>
    <x v="0"/>
  </r>
  <r>
    <n v="12056"/>
    <x v="0"/>
    <x v="1"/>
    <n v="120000"/>
    <x v="4"/>
    <x v="4"/>
    <s v="Management"/>
    <x v="0"/>
    <x v="4"/>
    <x v="2"/>
    <x v="2"/>
    <n v="64"/>
    <x v="1"/>
    <s v="Old"/>
    <x v="0"/>
  </r>
  <r>
    <n v="15555"/>
    <x v="0"/>
    <x v="0"/>
    <n v="60000"/>
    <x v="0"/>
    <x v="1"/>
    <s v="Skilled Manual"/>
    <x v="0"/>
    <x v="1"/>
    <x v="1"/>
    <x v="2"/>
    <n v="45"/>
    <x v="2"/>
    <s v="Middle Age"/>
    <x v="1"/>
  </r>
  <r>
    <n v="18423"/>
    <x v="1"/>
    <x v="1"/>
    <n v="80000"/>
    <x v="4"/>
    <x v="3"/>
    <s v="Skilled Manual"/>
    <x v="1"/>
    <x v="2"/>
    <x v="3"/>
    <x v="2"/>
    <n v="52"/>
    <x v="2"/>
    <s v="Middle Age"/>
    <x v="0"/>
  </r>
  <r>
    <n v="22743"/>
    <x v="0"/>
    <x v="0"/>
    <n v="40000"/>
    <x v="2"/>
    <x v="2"/>
    <s v="Professional"/>
    <x v="0"/>
    <x v="2"/>
    <x v="4"/>
    <x v="2"/>
    <n v="60"/>
    <x v="1"/>
    <s v="Old"/>
    <x v="0"/>
  </r>
  <r>
    <n v="25343"/>
    <x v="1"/>
    <x v="0"/>
    <n v="20000"/>
    <x v="1"/>
    <x v="3"/>
    <s v="Clerical"/>
    <x v="0"/>
    <x v="2"/>
    <x v="3"/>
    <x v="2"/>
    <n v="50"/>
    <x v="2"/>
    <s v="Middle Age"/>
    <x v="0"/>
  </r>
  <r>
    <n v="13390"/>
    <x v="0"/>
    <x v="0"/>
    <n v="70000"/>
    <x v="5"/>
    <x v="1"/>
    <s v="Professional"/>
    <x v="1"/>
    <x v="1"/>
    <x v="3"/>
    <x v="2"/>
    <n v="56"/>
    <x v="1"/>
    <s v="Old"/>
    <x v="0"/>
  </r>
  <r>
    <n v="17482"/>
    <x v="1"/>
    <x v="0"/>
    <n v="40000"/>
    <x v="3"/>
    <x v="3"/>
    <s v="Clerical"/>
    <x v="0"/>
    <x v="2"/>
    <x v="2"/>
    <x v="2"/>
    <n v="29"/>
    <x v="0"/>
    <s v="Millennials"/>
    <x v="0"/>
  </r>
  <r>
    <n v="13176"/>
    <x v="1"/>
    <x v="1"/>
    <n v="130000"/>
    <x v="3"/>
    <x v="4"/>
    <s v="Management"/>
    <x v="1"/>
    <x v="2"/>
    <x v="0"/>
    <x v="2"/>
    <n v="38"/>
    <x v="0"/>
    <s v="Millennials"/>
    <x v="1"/>
  </r>
  <r>
    <n v="20504"/>
    <x v="0"/>
    <x v="0"/>
    <n v="40000"/>
    <x v="2"/>
    <x v="2"/>
    <s v="Professional"/>
    <x v="1"/>
    <x v="2"/>
    <x v="1"/>
    <x v="2"/>
    <n v="60"/>
    <x v="1"/>
    <s v="Old"/>
    <x v="0"/>
  </r>
  <r>
    <n v="12205"/>
    <x v="1"/>
    <x v="0"/>
    <n v="130000"/>
    <x v="4"/>
    <x v="0"/>
    <s v="Management"/>
    <x v="1"/>
    <x v="3"/>
    <x v="0"/>
    <x v="2"/>
    <n v="67"/>
    <x v="1"/>
    <s v="Old"/>
    <x v="0"/>
  </r>
  <r>
    <n v="16751"/>
    <x v="0"/>
    <x v="1"/>
    <n v="60000"/>
    <x v="3"/>
    <x v="1"/>
    <s v="Skilled Manual"/>
    <x v="0"/>
    <x v="1"/>
    <x v="2"/>
    <x v="2"/>
    <n v="32"/>
    <x v="0"/>
    <s v="Millennials"/>
    <x v="1"/>
  </r>
  <r>
    <n v="21613"/>
    <x v="1"/>
    <x v="1"/>
    <n v="50000"/>
    <x v="4"/>
    <x v="0"/>
    <s v="Skilled Manual"/>
    <x v="1"/>
    <x v="1"/>
    <x v="0"/>
    <x v="2"/>
    <n v="39"/>
    <x v="0"/>
    <s v="Millennials"/>
    <x v="1"/>
  </r>
  <r>
    <n v="24801"/>
    <x v="1"/>
    <x v="1"/>
    <n v="60000"/>
    <x v="0"/>
    <x v="4"/>
    <s v="Professional"/>
    <x v="0"/>
    <x v="0"/>
    <x v="1"/>
    <x v="2"/>
    <n v="35"/>
    <x v="0"/>
    <s v="Millennials"/>
    <x v="1"/>
  </r>
  <r>
    <n v="17519"/>
    <x v="0"/>
    <x v="0"/>
    <n v="60000"/>
    <x v="3"/>
    <x v="1"/>
    <s v="Professional"/>
    <x v="0"/>
    <x v="2"/>
    <x v="2"/>
    <x v="2"/>
    <n v="32"/>
    <x v="0"/>
    <s v="Millennials"/>
    <x v="0"/>
  </r>
  <r>
    <n v="18347"/>
    <x v="1"/>
    <x v="0"/>
    <n v="30000"/>
    <x v="3"/>
    <x v="1"/>
    <s v="Skilled Manual"/>
    <x v="1"/>
    <x v="1"/>
    <x v="3"/>
    <x v="2"/>
    <n v="31"/>
    <x v="0"/>
    <s v="Millennials"/>
    <x v="0"/>
  </r>
  <r>
    <n v="29052"/>
    <x v="1"/>
    <x v="1"/>
    <n v="40000"/>
    <x v="3"/>
    <x v="1"/>
    <s v="Skilled Manual"/>
    <x v="0"/>
    <x v="1"/>
    <x v="2"/>
    <x v="2"/>
    <n v="27"/>
    <x v="0"/>
    <s v="Millennials"/>
    <x v="0"/>
  </r>
  <r>
    <n v="11745"/>
    <x v="0"/>
    <x v="0"/>
    <n v="60000"/>
    <x v="0"/>
    <x v="0"/>
    <s v="Professional"/>
    <x v="0"/>
    <x v="1"/>
    <x v="0"/>
    <x v="2"/>
    <n v="47"/>
    <x v="2"/>
    <s v="Middle Age"/>
    <x v="1"/>
  </r>
  <r>
    <n v="19147"/>
    <x v="0"/>
    <x v="1"/>
    <n v="40000"/>
    <x v="3"/>
    <x v="0"/>
    <s v="Professional"/>
    <x v="1"/>
    <x v="1"/>
    <x v="0"/>
    <x v="2"/>
    <n v="42"/>
    <x v="0"/>
    <s v="Millennials"/>
    <x v="0"/>
  </r>
  <r>
    <n v="19217"/>
    <x v="0"/>
    <x v="1"/>
    <n v="30000"/>
    <x v="4"/>
    <x v="2"/>
    <s v="Skilled Manual"/>
    <x v="0"/>
    <x v="2"/>
    <x v="3"/>
    <x v="2"/>
    <n v="49"/>
    <x v="2"/>
    <s v="Middle Age"/>
    <x v="0"/>
  </r>
  <r>
    <n v="15839"/>
    <x v="1"/>
    <x v="1"/>
    <n v="30000"/>
    <x v="3"/>
    <x v="1"/>
    <s v="Skilled Manual"/>
    <x v="0"/>
    <x v="1"/>
    <x v="2"/>
    <x v="2"/>
    <n v="32"/>
    <x v="0"/>
    <s v="Millennials"/>
    <x v="0"/>
  </r>
  <r>
    <n v="13714"/>
    <x v="0"/>
    <x v="0"/>
    <n v="20000"/>
    <x v="4"/>
    <x v="2"/>
    <s v="Manual"/>
    <x v="1"/>
    <x v="2"/>
    <x v="3"/>
    <x v="2"/>
    <n v="53"/>
    <x v="2"/>
    <s v="Middle Age"/>
    <x v="1"/>
  </r>
  <r>
    <n v="22330"/>
    <x v="0"/>
    <x v="1"/>
    <n v="50000"/>
    <x v="3"/>
    <x v="4"/>
    <s v="Skilled Manual"/>
    <x v="0"/>
    <x v="0"/>
    <x v="3"/>
    <x v="2"/>
    <n v="32"/>
    <x v="0"/>
    <s v="Millennials"/>
    <x v="1"/>
  </r>
  <r>
    <n v="18783"/>
    <x v="1"/>
    <x v="1"/>
    <n v="80000"/>
    <x v="3"/>
    <x v="0"/>
    <s v="Management"/>
    <x v="1"/>
    <x v="1"/>
    <x v="0"/>
    <x v="2"/>
    <n v="38"/>
    <x v="0"/>
    <s v="Millennials"/>
    <x v="1"/>
  </r>
  <r>
    <n v="25041"/>
    <x v="1"/>
    <x v="1"/>
    <n v="40000"/>
    <x v="3"/>
    <x v="2"/>
    <s v="Skilled Manual"/>
    <x v="0"/>
    <x v="2"/>
    <x v="2"/>
    <x v="2"/>
    <n v="31"/>
    <x v="0"/>
    <s v="Millennials"/>
    <x v="0"/>
  </r>
  <r>
    <n v="22046"/>
    <x v="1"/>
    <x v="0"/>
    <n v="80000"/>
    <x v="3"/>
    <x v="0"/>
    <s v="Management"/>
    <x v="1"/>
    <x v="1"/>
    <x v="0"/>
    <x v="2"/>
    <n v="38"/>
    <x v="0"/>
    <s v="Millennials"/>
    <x v="1"/>
  </r>
  <r>
    <n v="28052"/>
    <x v="0"/>
    <x v="1"/>
    <n v="60000"/>
    <x v="4"/>
    <x v="2"/>
    <s v="Professional"/>
    <x v="0"/>
    <x v="2"/>
    <x v="4"/>
    <x v="2"/>
    <n v="55"/>
    <x v="3"/>
    <s v="Late Middle Age"/>
    <x v="0"/>
  </r>
  <r>
    <n v="26693"/>
    <x v="0"/>
    <x v="1"/>
    <n v="70000"/>
    <x v="1"/>
    <x v="1"/>
    <s v="Professional"/>
    <x v="0"/>
    <x v="1"/>
    <x v="2"/>
    <x v="2"/>
    <n v="49"/>
    <x v="2"/>
    <s v="Middle Age"/>
    <x v="0"/>
  </r>
  <r>
    <n v="24955"/>
    <x v="1"/>
    <x v="1"/>
    <n v="30000"/>
    <x v="2"/>
    <x v="3"/>
    <s v="Skilled Manual"/>
    <x v="0"/>
    <x v="4"/>
    <x v="4"/>
    <x v="2"/>
    <n v="60"/>
    <x v="1"/>
    <s v="Old"/>
    <x v="1"/>
  </r>
  <r>
    <n v="26065"/>
    <x v="1"/>
    <x v="0"/>
    <n v="110000"/>
    <x v="1"/>
    <x v="0"/>
    <s v="Management"/>
    <x v="1"/>
    <x v="3"/>
    <x v="3"/>
    <x v="2"/>
    <n v="42"/>
    <x v="0"/>
    <s v="Millennials"/>
    <x v="0"/>
  </r>
  <r>
    <n v="13942"/>
    <x v="0"/>
    <x v="1"/>
    <n v="60000"/>
    <x v="0"/>
    <x v="1"/>
    <s v="Skilled Manual"/>
    <x v="0"/>
    <x v="1"/>
    <x v="0"/>
    <x v="2"/>
    <n v="46"/>
    <x v="2"/>
    <s v="Middle Age"/>
    <x v="0"/>
  </r>
  <r>
    <n v="11219"/>
    <x v="0"/>
    <x v="1"/>
    <n v="60000"/>
    <x v="4"/>
    <x v="2"/>
    <s v="Professional"/>
    <x v="0"/>
    <x v="2"/>
    <x v="4"/>
    <x v="2"/>
    <n v="55"/>
    <x v="3"/>
    <s v="Late Middle Age"/>
    <x v="0"/>
  </r>
  <r>
    <n v="22118"/>
    <x v="1"/>
    <x v="0"/>
    <n v="70000"/>
    <x v="1"/>
    <x v="4"/>
    <s v="Management"/>
    <x v="0"/>
    <x v="2"/>
    <x v="2"/>
    <x v="2"/>
    <n v="53"/>
    <x v="2"/>
    <s v="Middle Age"/>
    <x v="1"/>
  </r>
  <r>
    <n v="23197"/>
    <x v="0"/>
    <x v="1"/>
    <n v="50000"/>
    <x v="1"/>
    <x v="0"/>
    <s v="Skilled Manual"/>
    <x v="0"/>
    <x v="2"/>
    <x v="1"/>
    <x v="2"/>
    <n v="40"/>
    <x v="0"/>
    <s v="Millennials"/>
    <x v="0"/>
  </r>
  <r>
    <n v="14883"/>
    <x v="0"/>
    <x v="0"/>
    <n v="30000"/>
    <x v="0"/>
    <x v="0"/>
    <s v="Skilled Manual"/>
    <x v="0"/>
    <x v="1"/>
    <x v="2"/>
    <x v="2"/>
    <n v="53"/>
    <x v="2"/>
    <s v="Middle Age"/>
    <x v="1"/>
  </r>
  <r>
    <n v="27279"/>
    <x v="1"/>
    <x v="0"/>
    <n v="70000"/>
    <x v="4"/>
    <x v="0"/>
    <s v="Skilled Manual"/>
    <x v="0"/>
    <x v="0"/>
    <x v="1"/>
    <x v="2"/>
    <n v="38"/>
    <x v="0"/>
    <s v="Millennials"/>
    <x v="1"/>
  </r>
  <r>
    <n v="18322"/>
    <x v="1"/>
    <x v="1"/>
    <n v="30000"/>
    <x v="3"/>
    <x v="3"/>
    <s v="Clerical"/>
    <x v="1"/>
    <x v="2"/>
    <x v="0"/>
    <x v="2"/>
    <n v="26"/>
    <x v="0"/>
    <s v="Millennials"/>
    <x v="0"/>
  </r>
  <r>
    <n v="15879"/>
    <x v="0"/>
    <x v="1"/>
    <n v="70000"/>
    <x v="2"/>
    <x v="0"/>
    <s v="Management"/>
    <x v="0"/>
    <x v="2"/>
    <x v="1"/>
    <x v="2"/>
    <n v="61"/>
    <x v="1"/>
    <s v="Old"/>
    <x v="0"/>
  </r>
  <r>
    <n v="28278"/>
    <x v="0"/>
    <x v="1"/>
    <n v="50000"/>
    <x v="4"/>
    <x v="4"/>
    <s v="Management"/>
    <x v="0"/>
    <x v="2"/>
    <x v="2"/>
    <x v="2"/>
    <n v="71"/>
    <x v="1"/>
    <s v="Old"/>
    <x v="0"/>
  </r>
  <r>
    <n v="24416"/>
    <x v="0"/>
    <x v="1"/>
    <n v="90000"/>
    <x v="5"/>
    <x v="2"/>
    <s v="Professional"/>
    <x v="0"/>
    <x v="2"/>
    <x v="3"/>
    <x v="2"/>
    <n v="45"/>
    <x v="2"/>
    <s v="Middle Age"/>
    <x v="0"/>
  </r>
  <r>
    <n v="28066"/>
    <x v="0"/>
    <x v="1"/>
    <n v="80000"/>
    <x v="4"/>
    <x v="4"/>
    <s v="Professional"/>
    <x v="0"/>
    <x v="0"/>
    <x v="0"/>
    <x v="2"/>
    <n v="37"/>
    <x v="0"/>
    <s v="Millennials"/>
    <x v="1"/>
  </r>
  <r>
    <n v="11275"/>
    <x v="0"/>
    <x v="0"/>
    <n v="80000"/>
    <x v="5"/>
    <x v="4"/>
    <s v="Management"/>
    <x v="0"/>
    <x v="2"/>
    <x v="0"/>
    <x v="2"/>
    <n v="72"/>
    <x v="1"/>
    <s v="Old"/>
    <x v="1"/>
  </r>
  <r>
    <n v="14872"/>
    <x v="0"/>
    <x v="1"/>
    <n v="30000"/>
    <x v="3"/>
    <x v="4"/>
    <s v="Skilled Manual"/>
    <x v="0"/>
    <x v="0"/>
    <x v="0"/>
    <x v="2"/>
    <n v="32"/>
    <x v="0"/>
    <s v="Millennials"/>
    <x v="0"/>
  </r>
  <r>
    <n v="16151"/>
    <x v="0"/>
    <x v="0"/>
    <n v="60000"/>
    <x v="0"/>
    <x v="0"/>
    <s v="Professional"/>
    <x v="0"/>
    <x v="1"/>
    <x v="1"/>
    <x v="2"/>
    <n v="48"/>
    <x v="2"/>
    <s v="Middle Age"/>
    <x v="1"/>
  </r>
  <r>
    <n v="19731"/>
    <x v="0"/>
    <x v="1"/>
    <n v="80000"/>
    <x v="5"/>
    <x v="4"/>
    <s v="Management"/>
    <x v="0"/>
    <x v="2"/>
    <x v="2"/>
    <x v="2"/>
    <n v="68"/>
    <x v="1"/>
    <s v="Old"/>
    <x v="0"/>
  </r>
  <r>
    <n v="23801"/>
    <x v="0"/>
    <x v="0"/>
    <n v="20000"/>
    <x v="4"/>
    <x v="3"/>
    <s v="Clerical"/>
    <x v="0"/>
    <x v="2"/>
    <x v="0"/>
    <x v="2"/>
    <n v="49"/>
    <x v="2"/>
    <s v="Middle Age"/>
    <x v="0"/>
  </r>
  <r>
    <n v="11807"/>
    <x v="0"/>
    <x v="1"/>
    <n v="70000"/>
    <x v="1"/>
    <x v="4"/>
    <s v="Professional"/>
    <x v="0"/>
    <x v="0"/>
    <x v="1"/>
    <x v="2"/>
    <n v="34"/>
    <x v="0"/>
    <s v="Millennials"/>
    <x v="0"/>
  </r>
  <r>
    <n v="11622"/>
    <x v="0"/>
    <x v="1"/>
    <n v="50000"/>
    <x v="3"/>
    <x v="4"/>
    <s v="Skilled Manual"/>
    <x v="0"/>
    <x v="0"/>
    <x v="0"/>
    <x v="2"/>
    <n v="32"/>
    <x v="0"/>
    <s v="Millennials"/>
    <x v="0"/>
  </r>
  <r>
    <n v="26597"/>
    <x v="1"/>
    <x v="0"/>
    <n v="60000"/>
    <x v="5"/>
    <x v="0"/>
    <s v="Skilled Manual"/>
    <x v="1"/>
    <x v="2"/>
    <x v="0"/>
    <x v="2"/>
    <n v="42"/>
    <x v="0"/>
    <s v="Millennials"/>
    <x v="0"/>
  </r>
  <r>
    <n v="27074"/>
    <x v="0"/>
    <x v="0"/>
    <n v="70000"/>
    <x v="0"/>
    <x v="4"/>
    <s v="Skilled Manual"/>
    <x v="0"/>
    <x v="0"/>
    <x v="0"/>
    <x v="2"/>
    <n v="35"/>
    <x v="0"/>
    <s v="Millennials"/>
    <x v="1"/>
  </r>
  <r>
    <n v="19228"/>
    <x v="0"/>
    <x v="0"/>
    <n v="40000"/>
    <x v="4"/>
    <x v="1"/>
    <s v="Clerical"/>
    <x v="0"/>
    <x v="1"/>
    <x v="0"/>
    <x v="2"/>
    <n v="48"/>
    <x v="2"/>
    <s v="Middle Age"/>
    <x v="0"/>
  </r>
  <r>
    <n v="13415"/>
    <x v="1"/>
    <x v="1"/>
    <n v="100000"/>
    <x v="0"/>
    <x v="4"/>
    <s v="Management"/>
    <x v="0"/>
    <x v="4"/>
    <x v="1"/>
    <x v="2"/>
    <n v="73"/>
    <x v="1"/>
    <s v="Old"/>
    <x v="1"/>
  </r>
  <r>
    <n v="17000"/>
    <x v="1"/>
    <x v="0"/>
    <n v="70000"/>
    <x v="5"/>
    <x v="0"/>
    <s v="Skilled Manual"/>
    <x v="0"/>
    <x v="2"/>
    <x v="1"/>
    <x v="2"/>
    <n v="43"/>
    <x v="0"/>
    <s v="Millennials"/>
    <x v="1"/>
  </r>
  <r>
    <n v="14569"/>
    <x v="0"/>
    <x v="1"/>
    <n v="60000"/>
    <x v="0"/>
    <x v="4"/>
    <s v="Professional"/>
    <x v="0"/>
    <x v="0"/>
    <x v="0"/>
    <x v="2"/>
    <n v="35"/>
    <x v="0"/>
    <s v="Millennials"/>
    <x v="0"/>
  </r>
  <r>
    <n v="13873"/>
    <x v="0"/>
    <x v="1"/>
    <n v="70000"/>
    <x v="1"/>
    <x v="4"/>
    <s v="Professional"/>
    <x v="0"/>
    <x v="0"/>
    <x v="0"/>
    <x v="2"/>
    <n v="35"/>
    <x v="0"/>
    <s v="Millennials"/>
    <x v="1"/>
  </r>
  <r>
    <n v="20401"/>
    <x v="0"/>
    <x v="0"/>
    <n v="50000"/>
    <x v="5"/>
    <x v="0"/>
    <s v="Management"/>
    <x v="0"/>
    <x v="2"/>
    <x v="3"/>
    <x v="2"/>
    <n v="64"/>
    <x v="1"/>
    <s v="Old"/>
    <x v="1"/>
  </r>
  <r>
    <n v="21583"/>
    <x v="0"/>
    <x v="0"/>
    <n v="50000"/>
    <x v="0"/>
    <x v="0"/>
    <s v="Skilled Manual"/>
    <x v="0"/>
    <x v="0"/>
    <x v="0"/>
    <x v="2"/>
    <n v="34"/>
    <x v="0"/>
    <s v="Millennials"/>
    <x v="1"/>
  </r>
  <r>
    <n v="12029"/>
    <x v="0"/>
    <x v="1"/>
    <n v="30000"/>
    <x v="3"/>
    <x v="3"/>
    <s v="Clerical"/>
    <x v="1"/>
    <x v="2"/>
    <x v="0"/>
    <x v="2"/>
    <n v="28"/>
    <x v="0"/>
    <s v="Millennials"/>
    <x v="0"/>
  </r>
  <r>
    <n v="18066"/>
    <x v="1"/>
    <x v="1"/>
    <n v="70000"/>
    <x v="2"/>
    <x v="0"/>
    <s v="Management"/>
    <x v="0"/>
    <x v="4"/>
    <x v="4"/>
    <x v="2"/>
    <n v="60"/>
    <x v="1"/>
    <s v="Old"/>
    <x v="1"/>
  </r>
  <r>
    <n v="28192"/>
    <x v="0"/>
    <x v="0"/>
    <n v="70000"/>
    <x v="2"/>
    <x v="4"/>
    <s v="Professional"/>
    <x v="0"/>
    <x v="4"/>
    <x v="4"/>
    <x v="2"/>
    <n v="46"/>
    <x v="2"/>
    <s v="Middle Age"/>
    <x v="0"/>
  </r>
  <r>
    <n v="16122"/>
    <x v="0"/>
    <x v="1"/>
    <n v="40000"/>
    <x v="5"/>
    <x v="2"/>
    <s v="Skilled Manual"/>
    <x v="0"/>
    <x v="2"/>
    <x v="0"/>
    <x v="2"/>
    <n v="44"/>
    <x v="0"/>
    <s v="Millennials"/>
    <x v="1"/>
  </r>
  <r>
    <n v="18607"/>
    <x v="1"/>
    <x v="0"/>
    <n v="60000"/>
    <x v="5"/>
    <x v="0"/>
    <s v="Skilled Manual"/>
    <x v="0"/>
    <x v="2"/>
    <x v="1"/>
    <x v="2"/>
    <n v="42"/>
    <x v="0"/>
    <s v="Millennials"/>
    <x v="1"/>
  </r>
  <r>
    <n v="28858"/>
    <x v="1"/>
    <x v="1"/>
    <n v="80000"/>
    <x v="1"/>
    <x v="0"/>
    <s v="Skilled Manual"/>
    <x v="0"/>
    <x v="0"/>
    <x v="1"/>
    <x v="2"/>
    <n v="40"/>
    <x v="0"/>
    <s v="Millennials"/>
    <x v="0"/>
  </r>
  <r>
    <n v="14432"/>
    <x v="1"/>
    <x v="1"/>
    <n v="90000"/>
    <x v="5"/>
    <x v="4"/>
    <s v="Management"/>
    <x v="0"/>
    <x v="1"/>
    <x v="2"/>
    <x v="2"/>
    <n v="73"/>
    <x v="1"/>
    <s v="Old"/>
    <x v="0"/>
  </r>
  <r>
    <n v="26305"/>
    <x v="1"/>
    <x v="0"/>
    <n v="60000"/>
    <x v="4"/>
    <x v="0"/>
    <s v="Skilled Manual"/>
    <x v="1"/>
    <x v="0"/>
    <x v="0"/>
    <x v="2"/>
    <n v="36"/>
    <x v="0"/>
    <s v="Millennials"/>
    <x v="1"/>
  </r>
  <r>
    <n v="22050"/>
    <x v="1"/>
    <x v="1"/>
    <n v="90000"/>
    <x v="5"/>
    <x v="0"/>
    <s v="Management"/>
    <x v="0"/>
    <x v="1"/>
    <x v="3"/>
    <x v="2"/>
    <n v="38"/>
    <x v="0"/>
    <s v="Millennials"/>
    <x v="1"/>
  </r>
  <r>
    <n v="25394"/>
    <x v="0"/>
    <x v="1"/>
    <n v="60000"/>
    <x v="0"/>
    <x v="4"/>
    <s v="Professional"/>
    <x v="0"/>
    <x v="0"/>
    <x v="1"/>
    <x v="2"/>
    <n v="34"/>
    <x v="0"/>
    <s v="Millennials"/>
    <x v="1"/>
  </r>
  <r>
    <n v="19747"/>
    <x v="0"/>
    <x v="1"/>
    <n v="50000"/>
    <x v="5"/>
    <x v="0"/>
    <s v="Management"/>
    <x v="0"/>
    <x v="2"/>
    <x v="4"/>
    <x v="2"/>
    <n v="63"/>
    <x v="1"/>
    <s v="Old"/>
    <x v="0"/>
  </r>
  <r>
    <n v="23195"/>
    <x v="1"/>
    <x v="1"/>
    <n v="50000"/>
    <x v="1"/>
    <x v="0"/>
    <s v="Skilled Manual"/>
    <x v="0"/>
    <x v="2"/>
    <x v="1"/>
    <x v="2"/>
    <n v="41"/>
    <x v="0"/>
    <s v="Millennials"/>
    <x v="1"/>
  </r>
  <r>
    <n v="21695"/>
    <x v="0"/>
    <x v="1"/>
    <n v="60000"/>
    <x v="3"/>
    <x v="4"/>
    <s v="Skilled Manual"/>
    <x v="0"/>
    <x v="0"/>
    <x v="3"/>
    <x v="2"/>
    <n v="39"/>
    <x v="0"/>
    <s v="Millennials"/>
    <x v="1"/>
  </r>
  <r>
    <n v="13934"/>
    <x v="0"/>
    <x v="1"/>
    <n v="40000"/>
    <x v="5"/>
    <x v="2"/>
    <s v="Skilled Manual"/>
    <x v="0"/>
    <x v="2"/>
    <x v="1"/>
    <x v="2"/>
    <n v="46"/>
    <x v="2"/>
    <s v="Middle Age"/>
    <x v="0"/>
  </r>
  <r>
    <n v="13337"/>
    <x v="0"/>
    <x v="0"/>
    <n v="80000"/>
    <x v="2"/>
    <x v="0"/>
    <s v="Management"/>
    <x v="0"/>
    <x v="2"/>
    <x v="2"/>
    <x v="2"/>
    <n v="64"/>
    <x v="1"/>
    <s v="Old"/>
    <x v="0"/>
  </r>
  <r>
    <n v="27190"/>
    <x v="0"/>
    <x v="0"/>
    <n v="40000"/>
    <x v="1"/>
    <x v="1"/>
    <s v="Clerical"/>
    <x v="0"/>
    <x v="1"/>
    <x v="3"/>
    <x v="2"/>
    <n v="32"/>
    <x v="0"/>
    <s v="Millennials"/>
    <x v="0"/>
  </r>
  <r>
    <n v="28657"/>
    <x v="1"/>
    <x v="1"/>
    <n v="60000"/>
    <x v="4"/>
    <x v="0"/>
    <s v="Skilled Manual"/>
    <x v="0"/>
    <x v="0"/>
    <x v="1"/>
    <x v="2"/>
    <n v="36"/>
    <x v="0"/>
    <s v="Millennials"/>
    <x v="1"/>
  </r>
  <r>
    <n v="21713"/>
    <x v="1"/>
    <x v="1"/>
    <n v="80000"/>
    <x v="2"/>
    <x v="4"/>
    <s v="Skilled Manual"/>
    <x v="1"/>
    <x v="0"/>
    <x v="0"/>
    <x v="2"/>
    <n v="47"/>
    <x v="2"/>
    <s v="Middle Age"/>
    <x v="0"/>
  </r>
  <r>
    <n v="21752"/>
    <x v="0"/>
    <x v="1"/>
    <n v="60000"/>
    <x v="1"/>
    <x v="4"/>
    <s v="Management"/>
    <x v="0"/>
    <x v="2"/>
    <x v="4"/>
    <x v="2"/>
    <n v="64"/>
    <x v="1"/>
    <s v="Old"/>
    <x v="0"/>
  </r>
  <r>
    <n v="27273"/>
    <x v="1"/>
    <x v="1"/>
    <n v="70000"/>
    <x v="1"/>
    <x v="4"/>
    <s v="Professional"/>
    <x v="1"/>
    <x v="0"/>
    <x v="0"/>
    <x v="2"/>
    <n v="35"/>
    <x v="0"/>
    <s v="Millennials"/>
    <x v="1"/>
  </r>
  <r>
    <n v="22719"/>
    <x v="1"/>
    <x v="1"/>
    <n v="110000"/>
    <x v="1"/>
    <x v="0"/>
    <s v="Management"/>
    <x v="0"/>
    <x v="3"/>
    <x v="1"/>
    <x v="2"/>
    <n v="40"/>
    <x v="0"/>
    <s v="Millennials"/>
    <x v="1"/>
  </r>
  <r>
    <n v="22042"/>
    <x v="0"/>
    <x v="0"/>
    <n v="70000"/>
    <x v="3"/>
    <x v="1"/>
    <s v="Skilled Manual"/>
    <x v="0"/>
    <x v="2"/>
    <x v="2"/>
    <x v="2"/>
    <n v="34"/>
    <x v="0"/>
    <s v="Millennials"/>
    <x v="1"/>
  </r>
  <r>
    <n v="21451"/>
    <x v="0"/>
    <x v="0"/>
    <n v="40000"/>
    <x v="5"/>
    <x v="2"/>
    <s v="Professional"/>
    <x v="0"/>
    <x v="2"/>
    <x v="4"/>
    <x v="2"/>
    <n v="61"/>
    <x v="1"/>
    <s v="Old"/>
    <x v="0"/>
  </r>
  <r>
    <n v="20754"/>
    <x v="0"/>
    <x v="1"/>
    <n v="30000"/>
    <x v="4"/>
    <x v="2"/>
    <s v="Skilled Manual"/>
    <x v="0"/>
    <x v="2"/>
    <x v="3"/>
    <x v="2"/>
    <n v="51"/>
    <x v="2"/>
    <s v="Middle Age"/>
    <x v="0"/>
  </r>
  <r>
    <n v="12153"/>
    <x v="1"/>
    <x v="0"/>
    <n v="70000"/>
    <x v="1"/>
    <x v="1"/>
    <s v="Professional"/>
    <x v="0"/>
    <x v="1"/>
    <x v="2"/>
    <x v="2"/>
    <n v="49"/>
    <x v="2"/>
    <s v="Middle Age"/>
    <x v="1"/>
  </r>
  <r>
    <n v="16895"/>
    <x v="0"/>
    <x v="0"/>
    <n v="40000"/>
    <x v="1"/>
    <x v="1"/>
    <s v="Professional"/>
    <x v="1"/>
    <x v="2"/>
    <x v="3"/>
    <x v="2"/>
    <n v="54"/>
    <x v="2"/>
    <s v="Middle Age"/>
    <x v="1"/>
  </r>
  <r>
    <n v="26728"/>
    <x v="1"/>
    <x v="1"/>
    <n v="70000"/>
    <x v="1"/>
    <x v="4"/>
    <s v="Management"/>
    <x v="1"/>
    <x v="2"/>
    <x v="3"/>
    <x v="2"/>
    <n v="53"/>
    <x v="2"/>
    <s v="Middle Age"/>
    <x v="1"/>
  </r>
  <r>
    <n v="11090"/>
    <x v="1"/>
    <x v="1"/>
    <n v="90000"/>
    <x v="4"/>
    <x v="1"/>
    <s v="Professional"/>
    <x v="0"/>
    <x v="1"/>
    <x v="1"/>
    <x v="2"/>
    <n v="48"/>
    <x v="2"/>
    <s v="Middle Age"/>
    <x v="1"/>
  </r>
  <r>
    <n v="15862"/>
    <x v="1"/>
    <x v="0"/>
    <n v="50000"/>
    <x v="3"/>
    <x v="4"/>
    <s v="Skilled Manual"/>
    <x v="0"/>
    <x v="0"/>
    <x v="3"/>
    <x v="2"/>
    <n v="33"/>
    <x v="0"/>
    <s v="Millennials"/>
    <x v="1"/>
  </r>
  <r>
    <n v="26495"/>
    <x v="1"/>
    <x v="0"/>
    <n v="40000"/>
    <x v="4"/>
    <x v="2"/>
    <s v="Professional"/>
    <x v="0"/>
    <x v="2"/>
    <x v="4"/>
    <x v="2"/>
    <n v="57"/>
    <x v="1"/>
    <s v="Old"/>
    <x v="0"/>
  </r>
  <r>
    <n v="11823"/>
    <x v="0"/>
    <x v="0"/>
    <n v="70000"/>
    <x v="3"/>
    <x v="4"/>
    <s v="Professional"/>
    <x v="0"/>
    <x v="0"/>
    <x v="1"/>
    <x v="2"/>
    <n v="39"/>
    <x v="0"/>
    <s v="Millennials"/>
    <x v="0"/>
  </r>
  <r>
    <n v="23449"/>
    <x v="0"/>
    <x v="1"/>
    <n v="60000"/>
    <x v="4"/>
    <x v="2"/>
    <s v="Professional"/>
    <x v="0"/>
    <x v="2"/>
    <x v="2"/>
    <x v="2"/>
    <n v="48"/>
    <x v="2"/>
    <s v="Middle Age"/>
    <x v="0"/>
  </r>
  <r>
    <n v="23459"/>
    <x v="0"/>
    <x v="1"/>
    <n v="60000"/>
    <x v="4"/>
    <x v="2"/>
    <s v="Professional"/>
    <x v="0"/>
    <x v="2"/>
    <x v="2"/>
    <x v="2"/>
    <n v="50"/>
    <x v="2"/>
    <s v="Middle Age"/>
    <x v="0"/>
  </r>
  <r>
    <n v="19543"/>
    <x v="0"/>
    <x v="1"/>
    <n v="70000"/>
    <x v="2"/>
    <x v="4"/>
    <s v="Professional"/>
    <x v="1"/>
    <x v="4"/>
    <x v="4"/>
    <x v="2"/>
    <n v="47"/>
    <x v="2"/>
    <s v="Middle Age"/>
    <x v="0"/>
  </r>
  <r>
    <n v="14914"/>
    <x v="0"/>
    <x v="0"/>
    <n v="40000"/>
    <x v="0"/>
    <x v="1"/>
    <s v="Clerical"/>
    <x v="0"/>
    <x v="1"/>
    <x v="3"/>
    <x v="2"/>
    <n v="49"/>
    <x v="2"/>
    <s v="Middle Age"/>
    <x v="1"/>
  </r>
  <r>
    <n v="12033"/>
    <x v="1"/>
    <x v="0"/>
    <n v="40000"/>
    <x v="3"/>
    <x v="2"/>
    <s v="Skilled Manual"/>
    <x v="1"/>
    <x v="2"/>
    <x v="0"/>
    <x v="2"/>
    <n v="27"/>
    <x v="0"/>
    <s v="Millennials"/>
    <x v="1"/>
  </r>
  <r>
    <n v="11941"/>
    <x v="1"/>
    <x v="1"/>
    <n v="60000"/>
    <x v="3"/>
    <x v="1"/>
    <s v="Skilled Manual"/>
    <x v="0"/>
    <x v="0"/>
    <x v="2"/>
    <x v="2"/>
    <n v="29"/>
    <x v="0"/>
    <s v="Millennials"/>
    <x v="0"/>
  </r>
  <r>
    <n v="14389"/>
    <x v="0"/>
    <x v="1"/>
    <n v="60000"/>
    <x v="4"/>
    <x v="0"/>
    <s v="Management"/>
    <x v="0"/>
    <x v="0"/>
    <x v="1"/>
    <x v="2"/>
    <n v="59"/>
    <x v="1"/>
    <s v="Old"/>
    <x v="0"/>
  </r>
  <r>
    <n v="18050"/>
    <x v="0"/>
    <x v="0"/>
    <n v="60000"/>
    <x v="0"/>
    <x v="1"/>
    <s v="Skilled Manual"/>
    <x v="0"/>
    <x v="1"/>
    <x v="0"/>
    <x v="2"/>
    <n v="45"/>
    <x v="2"/>
    <s v="Middle Age"/>
    <x v="1"/>
  </r>
  <r>
    <n v="19856"/>
    <x v="0"/>
    <x v="0"/>
    <n v="60000"/>
    <x v="5"/>
    <x v="0"/>
    <s v="Management"/>
    <x v="0"/>
    <x v="2"/>
    <x v="1"/>
    <x v="2"/>
    <n v="60"/>
    <x v="1"/>
    <s v="Old"/>
    <x v="0"/>
  </r>
  <r>
    <n v="11663"/>
    <x v="0"/>
    <x v="1"/>
    <n v="70000"/>
    <x v="5"/>
    <x v="4"/>
    <s v="Professional"/>
    <x v="0"/>
    <x v="0"/>
    <x v="0"/>
    <x v="2"/>
    <n v="36"/>
    <x v="0"/>
    <s v="Millennials"/>
    <x v="1"/>
  </r>
  <r>
    <n v="27740"/>
    <x v="0"/>
    <x v="0"/>
    <n v="40000"/>
    <x v="3"/>
    <x v="2"/>
    <s v="Skilled Manual"/>
    <x v="0"/>
    <x v="2"/>
    <x v="2"/>
    <x v="2"/>
    <n v="27"/>
    <x v="0"/>
    <s v="Millennials"/>
    <x v="0"/>
  </r>
  <r>
    <n v="23455"/>
    <x v="1"/>
    <x v="1"/>
    <n v="80000"/>
    <x v="4"/>
    <x v="3"/>
    <s v="Skilled Manual"/>
    <x v="1"/>
    <x v="2"/>
    <x v="3"/>
    <x v="2"/>
    <n v="50"/>
    <x v="2"/>
    <s v="Middle Age"/>
    <x v="0"/>
  </r>
  <r>
    <n v="15292"/>
    <x v="1"/>
    <x v="0"/>
    <n v="60000"/>
    <x v="0"/>
    <x v="4"/>
    <s v="Skilled Manual"/>
    <x v="0"/>
    <x v="0"/>
    <x v="3"/>
    <x v="2"/>
    <n v="35"/>
    <x v="0"/>
    <s v="Millennials"/>
    <x v="0"/>
  </r>
  <r>
    <n v="21587"/>
    <x v="0"/>
    <x v="0"/>
    <n v="60000"/>
    <x v="0"/>
    <x v="4"/>
    <s v="Skilled Manual"/>
    <x v="0"/>
    <x v="0"/>
    <x v="1"/>
    <x v="2"/>
    <n v="34"/>
    <x v="0"/>
    <s v="Millennials"/>
    <x v="1"/>
  </r>
  <r>
    <n v="23513"/>
    <x v="0"/>
    <x v="0"/>
    <n v="40000"/>
    <x v="1"/>
    <x v="1"/>
    <s v="Professional"/>
    <x v="0"/>
    <x v="2"/>
    <x v="2"/>
    <x v="2"/>
    <n v="54"/>
    <x v="2"/>
    <s v="Middle Age"/>
    <x v="0"/>
  </r>
  <r>
    <n v="24322"/>
    <x v="0"/>
    <x v="0"/>
    <n v="60000"/>
    <x v="5"/>
    <x v="0"/>
    <s v="Skilled Manual"/>
    <x v="1"/>
    <x v="2"/>
    <x v="0"/>
    <x v="2"/>
    <n v="42"/>
    <x v="0"/>
    <s v="Millennials"/>
    <x v="0"/>
  </r>
  <r>
    <n v="26298"/>
    <x v="0"/>
    <x v="0"/>
    <n v="50000"/>
    <x v="0"/>
    <x v="0"/>
    <s v="Skilled Manual"/>
    <x v="0"/>
    <x v="0"/>
    <x v="1"/>
    <x v="2"/>
    <n v="34"/>
    <x v="0"/>
    <s v="Millennials"/>
    <x v="1"/>
  </r>
  <r>
    <n v="25419"/>
    <x v="1"/>
    <x v="1"/>
    <n v="50000"/>
    <x v="4"/>
    <x v="0"/>
    <s v="Skilled Manual"/>
    <x v="1"/>
    <x v="1"/>
    <x v="0"/>
    <x v="2"/>
    <n v="38"/>
    <x v="0"/>
    <s v="Millennials"/>
    <x v="1"/>
  </r>
  <r>
    <n v="13343"/>
    <x v="0"/>
    <x v="0"/>
    <n v="90000"/>
    <x v="2"/>
    <x v="0"/>
    <s v="Management"/>
    <x v="0"/>
    <x v="2"/>
    <x v="3"/>
    <x v="2"/>
    <n v="63"/>
    <x v="1"/>
    <s v="Old"/>
    <x v="1"/>
  </r>
  <r>
    <n v="11303"/>
    <x v="1"/>
    <x v="0"/>
    <n v="90000"/>
    <x v="5"/>
    <x v="2"/>
    <s v="Professional"/>
    <x v="1"/>
    <x v="4"/>
    <x v="3"/>
    <x v="2"/>
    <n v="45"/>
    <x v="2"/>
    <s v="Middle Age"/>
    <x v="1"/>
  </r>
  <r>
    <n v="21693"/>
    <x v="1"/>
    <x v="0"/>
    <n v="60000"/>
    <x v="3"/>
    <x v="4"/>
    <s v="Skilled Manual"/>
    <x v="1"/>
    <x v="0"/>
    <x v="0"/>
    <x v="2"/>
    <n v="40"/>
    <x v="0"/>
    <s v="Millennials"/>
    <x v="0"/>
  </r>
  <r>
    <n v="28056"/>
    <x v="0"/>
    <x v="1"/>
    <n v="70000"/>
    <x v="4"/>
    <x v="3"/>
    <s v="Skilled Manual"/>
    <x v="0"/>
    <x v="2"/>
    <x v="4"/>
    <x v="2"/>
    <n v="53"/>
    <x v="2"/>
    <s v="Middle Age"/>
    <x v="0"/>
  </r>
  <r>
    <n v="11788"/>
    <x v="1"/>
    <x v="0"/>
    <n v="70000"/>
    <x v="0"/>
    <x v="4"/>
    <s v="Professional"/>
    <x v="0"/>
    <x v="0"/>
    <x v="1"/>
    <x v="2"/>
    <n v="34"/>
    <x v="0"/>
    <s v="Millennials"/>
    <x v="0"/>
  </r>
  <r>
    <n v="22296"/>
    <x v="0"/>
    <x v="1"/>
    <n v="70000"/>
    <x v="3"/>
    <x v="0"/>
    <s v="Professional"/>
    <x v="1"/>
    <x v="1"/>
    <x v="0"/>
    <x v="2"/>
    <n v="38"/>
    <x v="0"/>
    <s v="Millennials"/>
    <x v="0"/>
  </r>
  <r>
    <n v="15319"/>
    <x v="0"/>
    <x v="0"/>
    <n v="70000"/>
    <x v="5"/>
    <x v="0"/>
    <s v="Management"/>
    <x v="1"/>
    <x v="1"/>
    <x v="3"/>
    <x v="2"/>
    <n v="59"/>
    <x v="1"/>
    <s v="Old"/>
    <x v="0"/>
  </r>
  <r>
    <n v="17654"/>
    <x v="1"/>
    <x v="0"/>
    <n v="40000"/>
    <x v="1"/>
    <x v="1"/>
    <s v="Clerical"/>
    <x v="0"/>
    <x v="1"/>
    <x v="3"/>
    <x v="2"/>
    <n v="30"/>
    <x v="0"/>
    <s v="Millennials"/>
    <x v="1"/>
  </r>
  <r>
    <n v="14662"/>
    <x v="0"/>
    <x v="1"/>
    <n v="60000"/>
    <x v="0"/>
    <x v="0"/>
    <s v="Professional"/>
    <x v="0"/>
    <x v="1"/>
    <x v="0"/>
    <x v="2"/>
    <n v="48"/>
    <x v="2"/>
    <s v="Middle Age"/>
    <x v="1"/>
  </r>
  <r>
    <n v="17541"/>
    <x v="0"/>
    <x v="0"/>
    <n v="40000"/>
    <x v="5"/>
    <x v="2"/>
    <s v="Skilled Manual"/>
    <x v="0"/>
    <x v="2"/>
    <x v="1"/>
    <x v="2"/>
    <n v="43"/>
    <x v="0"/>
    <s v="Millennials"/>
    <x v="0"/>
  </r>
  <r>
    <n v="13886"/>
    <x v="0"/>
    <x v="0"/>
    <n v="70000"/>
    <x v="5"/>
    <x v="4"/>
    <s v="Professional"/>
    <x v="0"/>
    <x v="0"/>
    <x v="1"/>
    <x v="2"/>
    <n v="35"/>
    <x v="0"/>
    <s v="Millennials"/>
    <x v="1"/>
  </r>
  <r>
    <n v="13073"/>
    <x v="0"/>
    <x v="0"/>
    <n v="60000"/>
    <x v="3"/>
    <x v="1"/>
    <s v="Professional"/>
    <x v="0"/>
    <x v="2"/>
    <x v="2"/>
    <x v="2"/>
    <n v="30"/>
    <x v="0"/>
    <s v="Millennials"/>
    <x v="0"/>
  </r>
  <r>
    <n v="21940"/>
    <x v="0"/>
    <x v="1"/>
    <n v="90000"/>
    <x v="2"/>
    <x v="4"/>
    <s v="Professional"/>
    <x v="0"/>
    <x v="0"/>
    <x v="0"/>
    <x v="2"/>
    <n v="47"/>
    <x v="2"/>
    <s v="Middle Age"/>
    <x v="1"/>
  </r>
  <r>
    <n v="20196"/>
    <x v="0"/>
    <x v="1"/>
    <n v="60000"/>
    <x v="0"/>
    <x v="1"/>
    <s v="Skilled Manual"/>
    <x v="0"/>
    <x v="1"/>
    <x v="1"/>
    <x v="2"/>
    <n v="45"/>
    <x v="2"/>
    <s v="Middle Age"/>
    <x v="1"/>
  </r>
  <r>
    <n v="23491"/>
    <x v="1"/>
    <x v="1"/>
    <n v="100000"/>
    <x v="3"/>
    <x v="1"/>
    <s v="Professional"/>
    <x v="1"/>
    <x v="3"/>
    <x v="3"/>
    <x v="2"/>
    <n v="45"/>
    <x v="2"/>
    <s v="Middle Age"/>
    <x v="0"/>
  </r>
  <r>
    <n v="16651"/>
    <x v="0"/>
    <x v="0"/>
    <n v="120000"/>
    <x v="4"/>
    <x v="0"/>
    <s v="Management"/>
    <x v="0"/>
    <x v="4"/>
    <x v="2"/>
    <x v="2"/>
    <n v="62"/>
    <x v="1"/>
    <s v="Old"/>
    <x v="0"/>
  </r>
  <r>
    <n v="16813"/>
    <x v="0"/>
    <x v="1"/>
    <n v="60000"/>
    <x v="4"/>
    <x v="1"/>
    <s v="Professional"/>
    <x v="0"/>
    <x v="2"/>
    <x v="4"/>
    <x v="2"/>
    <n v="55"/>
    <x v="3"/>
    <s v="Late Middle Age"/>
    <x v="0"/>
  </r>
  <r>
    <n v="16007"/>
    <x v="0"/>
    <x v="0"/>
    <n v="90000"/>
    <x v="2"/>
    <x v="0"/>
    <s v="Management"/>
    <x v="0"/>
    <x v="2"/>
    <x v="3"/>
    <x v="2"/>
    <n v="66"/>
    <x v="1"/>
    <s v="Old"/>
    <x v="1"/>
  </r>
  <r>
    <n v="27434"/>
    <x v="1"/>
    <x v="1"/>
    <n v="70000"/>
    <x v="5"/>
    <x v="1"/>
    <s v="Professional"/>
    <x v="0"/>
    <x v="1"/>
    <x v="4"/>
    <x v="2"/>
    <n v="56"/>
    <x v="1"/>
    <s v="Old"/>
    <x v="0"/>
  </r>
  <r>
    <n v="27756"/>
    <x v="1"/>
    <x v="0"/>
    <n v="50000"/>
    <x v="1"/>
    <x v="0"/>
    <s v="Skilled Manual"/>
    <x v="1"/>
    <x v="1"/>
    <x v="0"/>
    <x v="2"/>
    <n v="40"/>
    <x v="0"/>
    <s v="Millennials"/>
    <x v="0"/>
  </r>
  <r>
    <n v="23818"/>
    <x v="0"/>
    <x v="0"/>
    <n v="50000"/>
    <x v="3"/>
    <x v="4"/>
    <s v="Skilled Manual"/>
    <x v="0"/>
    <x v="0"/>
    <x v="3"/>
    <x v="2"/>
    <n v="33"/>
    <x v="0"/>
    <s v="Millennials"/>
    <x v="1"/>
  </r>
  <r>
    <n v="19012"/>
    <x v="0"/>
    <x v="1"/>
    <n v="80000"/>
    <x v="1"/>
    <x v="0"/>
    <s v="Management"/>
    <x v="0"/>
    <x v="1"/>
    <x v="3"/>
    <x v="2"/>
    <n v="56"/>
    <x v="1"/>
    <s v="Old"/>
    <x v="0"/>
  </r>
  <r>
    <n v="18329"/>
    <x v="1"/>
    <x v="1"/>
    <n v="30000"/>
    <x v="3"/>
    <x v="3"/>
    <s v="Clerical"/>
    <x v="1"/>
    <x v="2"/>
    <x v="2"/>
    <x v="2"/>
    <n v="27"/>
    <x v="0"/>
    <s v="Millennials"/>
    <x v="0"/>
  </r>
  <r>
    <n v="29037"/>
    <x v="0"/>
    <x v="1"/>
    <n v="60000"/>
    <x v="3"/>
    <x v="4"/>
    <s v="Professional"/>
    <x v="1"/>
    <x v="0"/>
    <x v="0"/>
    <x v="2"/>
    <n v="39"/>
    <x v="0"/>
    <s v="Millennials"/>
    <x v="0"/>
  </r>
  <r>
    <n v="26576"/>
    <x v="0"/>
    <x v="0"/>
    <n v="60000"/>
    <x v="3"/>
    <x v="1"/>
    <s v="Skilled Manual"/>
    <x v="0"/>
    <x v="2"/>
    <x v="2"/>
    <x v="2"/>
    <n v="31"/>
    <x v="0"/>
    <s v="Millennials"/>
    <x v="0"/>
  </r>
  <r>
    <n v="12192"/>
    <x v="1"/>
    <x v="0"/>
    <n v="60000"/>
    <x v="4"/>
    <x v="3"/>
    <s v="Skilled Manual"/>
    <x v="1"/>
    <x v="2"/>
    <x v="3"/>
    <x v="2"/>
    <n v="51"/>
    <x v="2"/>
    <s v="Middle Age"/>
    <x v="0"/>
  </r>
  <r>
    <n v="14887"/>
    <x v="0"/>
    <x v="0"/>
    <n v="30000"/>
    <x v="0"/>
    <x v="2"/>
    <s v="Clerical"/>
    <x v="0"/>
    <x v="1"/>
    <x v="2"/>
    <x v="2"/>
    <n v="52"/>
    <x v="2"/>
    <s v="Middle Age"/>
    <x v="0"/>
  </r>
  <r>
    <n v="11734"/>
    <x v="0"/>
    <x v="1"/>
    <n v="60000"/>
    <x v="0"/>
    <x v="1"/>
    <s v="Skilled Manual"/>
    <x v="1"/>
    <x v="1"/>
    <x v="0"/>
    <x v="2"/>
    <n v="47"/>
    <x v="2"/>
    <s v="Middle Age"/>
    <x v="0"/>
  </r>
  <r>
    <n v="17462"/>
    <x v="0"/>
    <x v="1"/>
    <n v="70000"/>
    <x v="1"/>
    <x v="4"/>
    <s v="Management"/>
    <x v="0"/>
    <x v="2"/>
    <x v="2"/>
    <x v="2"/>
    <n v="53"/>
    <x v="2"/>
    <s v="Middle Age"/>
    <x v="1"/>
  </r>
  <r>
    <n v="20659"/>
    <x v="0"/>
    <x v="1"/>
    <n v="70000"/>
    <x v="1"/>
    <x v="4"/>
    <s v="Professional"/>
    <x v="0"/>
    <x v="0"/>
    <x v="0"/>
    <x v="2"/>
    <n v="35"/>
    <x v="0"/>
    <s v="Millennials"/>
    <x v="1"/>
  </r>
  <r>
    <n v="28004"/>
    <x v="0"/>
    <x v="0"/>
    <n v="60000"/>
    <x v="1"/>
    <x v="0"/>
    <s v="Management"/>
    <x v="0"/>
    <x v="2"/>
    <x v="4"/>
    <x v="2"/>
    <n v="66"/>
    <x v="1"/>
    <s v="Old"/>
    <x v="0"/>
  </r>
  <r>
    <n v="19741"/>
    <x v="1"/>
    <x v="0"/>
    <n v="80000"/>
    <x v="5"/>
    <x v="4"/>
    <s v="Management"/>
    <x v="0"/>
    <x v="2"/>
    <x v="2"/>
    <x v="2"/>
    <n v="65"/>
    <x v="1"/>
    <s v="Old"/>
    <x v="0"/>
  </r>
  <r>
    <n v="17450"/>
    <x v="0"/>
    <x v="1"/>
    <n v="80000"/>
    <x v="2"/>
    <x v="1"/>
    <s v="Professional"/>
    <x v="0"/>
    <x v="4"/>
    <x v="2"/>
    <x v="2"/>
    <n v="45"/>
    <x v="2"/>
    <s v="Middle Age"/>
    <x v="0"/>
  </r>
  <r>
    <n v="17337"/>
    <x v="1"/>
    <x v="1"/>
    <n v="40000"/>
    <x v="3"/>
    <x v="2"/>
    <s v="Skilled Manual"/>
    <x v="0"/>
    <x v="1"/>
    <x v="2"/>
    <x v="2"/>
    <n v="31"/>
    <x v="0"/>
    <s v="Millennials"/>
    <x v="0"/>
  </r>
  <r>
    <n v="18594"/>
    <x v="1"/>
    <x v="0"/>
    <n v="80000"/>
    <x v="1"/>
    <x v="0"/>
    <s v="Skilled Manual"/>
    <x v="0"/>
    <x v="4"/>
    <x v="4"/>
    <x v="2"/>
    <n v="40"/>
    <x v="0"/>
    <s v="Millennials"/>
    <x v="1"/>
  </r>
  <r>
    <n v="15982"/>
    <x v="0"/>
    <x v="1"/>
    <n v="110000"/>
    <x v="2"/>
    <x v="1"/>
    <s v="Professional"/>
    <x v="0"/>
    <x v="3"/>
    <x v="1"/>
    <x v="2"/>
    <n v="46"/>
    <x v="2"/>
    <s v="Middle Age"/>
    <x v="0"/>
  </r>
  <r>
    <n v="28625"/>
    <x v="1"/>
    <x v="1"/>
    <n v="40000"/>
    <x v="4"/>
    <x v="1"/>
    <s v="Clerical"/>
    <x v="1"/>
    <x v="1"/>
    <x v="3"/>
    <x v="2"/>
    <n v="47"/>
    <x v="2"/>
    <s v="Middle Age"/>
    <x v="1"/>
  </r>
  <r>
    <n v="11269"/>
    <x v="0"/>
    <x v="1"/>
    <n v="130000"/>
    <x v="4"/>
    <x v="4"/>
    <s v="Management"/>
    <x v="0"/>
    <x v="2"/>
    <x v="0"/>
    <x v="2"/>
    <n v="41"/>
    <x v="0"/>
    <s v="Millennials"/>
    <x v="0"/>
  </r>
  <r>
    <n v="25148"/>
    <x v="0"/>
    <x v="1"/>
    <n v="60000"/>
    <x v="4"/>
    <x v="2"/>
    <s v="Professional"/>
    <x v="1"/>
    <x v="2"/>
    <x v="3"/>
    <x v="2"/>
    <n v="48"/>
    <x v="2"/>
    <s v="Middle Age"/>
    <x v="1"/>
  </r>
  <r>
    <n v="13920"/>
    <x v="1"/>
    <x v="0"/>
    <n v="50000"/>
    <x v="5"/>
    <x v="0"/>
    <s v="Skilled Manual"/>
    <x v="0"/>
    <x v="2"/>
    <x v="0"/>
    <x v="2"/>
    <n v="42"/>
    <x v="0"/>
    <s v="Millennials"/>
    <x v="0"/>
  </r>
  <r>
    <n v="23704"/>
    <x v="1"/>
    <x v="1"/>
    <n v="40000"/>
    <x v="2"/>
    <x v="2"/>
    <s v="Professional"/>
    <x v="0"/>
    <x v="3"/>
    <x v="4"/>
    <x v="2"/>
    <n v="60"/>
    <x v="1"/>
    <s v="Old"/>
    <x v="1"/>
  </r>
  <r>
    <n v="28972"/>
    <x v="1"/>
    <x v="0"/>
    <n v="60000"/>
    <x v="1"/>
    <x v="4"/>
    <s v="Management"/>
    <x v="0"/>
    <x v="2"/>
    <x v="4"/>
    <x v="2"/>
    <n v="66"/>
    <x v="1"/>
    <s v="Old"/>
    <x v="0"/>
  </r>
  <r>
    <n v="22730"/>
    <x v="0"/>
    <x v="1"/>
    <n v="70000"/>
    <x v="2"/>
    <x v="0"/>
    <s v="Management"/>
    <x v="0"/>
    <x v="2"/>
    <x v="4"/>
    <x v="2"/>
    <n v="63"/>
    <x v="1"/>
    <s v="Old"/>
    <x v="0"/>
  </r>
  <r>
    <n v="29134"/>
    <x v="0"/>
    <x v="1"/>
    <n v="60000"/>
    <x v="5"/>
    <x v="0"/>
    <s v="Skilled Manual"/>
    <x v="1"/>
    <x v="4"/>
    <x v="4"/>
    <x v="2"/>
    <n v="42"/>
    <x v="0"/>
    <s v="Millennials"/>
    <x v="0"/>
  </r>
  <r>
    <n v="14332"/>
    <x v="1"/>
    <x v="0"/>
    <n v="30000"/>
    <x v="3"/>
    <x v="2"/>
    <s v="Skilled Manual"/>
    <x v="1"/>
    <x v="2"/>
    <x v="2"/>
    <x v="2"/>
    <n v="26"/>
    <x v="0"/>
    <s v="Millennials"/>
    <x v="0"/>
  </r>
  <r>
    <n v="19117"/>
    <x v="1"/>
    <x v="0"/>
    <n v="60000"/>
    <x v="0"/>
    <x v="4"/>
    <s v="Professional"/>
    <x v="0"/>
    <x v="0"/>
    <x v="1"/>
    <x v="2"/>
    <n v="36"/>
    <x v="0"/>
    <s v="Millennials"/>
    <x v="1"/>
  </r>
  <r>
    <n v="22864"/>
    <x v="0"/>
    <x v="1"/>
    <n v="90000"/>
    <x v="4"/>
    <x v="1"/>
    <s v="Professional"/>
    <x v="1"/>
    <x v="0"/>
    <x v="2"/>
    <x v="2"/>
    <n v="49"/>
    <x v="2"/>
    <s v="Middle Age"/>
    <x v="1"/>
  </r>
  <r>
    <n v="11292"/>
    <x v="1"/>
    <x v="1"/>
    <n v="150000"/>
    <x v="0"/>
    <x v="1"/>
    <s v="Professional"/>
    <x v="1"/>
    <x v="4"/>
    <x v="0"/>
    <x v="2"/>
    <n v="44"/>
    <x v="0"/>
    <s v="Millennials"/>
    <x v="1"/>
  </r>
  <r>
    <n v="13466"/>
    <x v="0"/>
    <x v="1"/>
    <n v="80000"/>
    <x v="2"/>
    <x v="1"/>
    <s v="Professional"/>
    <x v="0"/>
    <x v="4"/>
    <x v="3"/>
    <x v="2"/>
    <n v="46"/>
    <x v="2"/>
    <s v="Middle Age"/>
    <x v="0"/>
  </r>
  <r>
    <n v="23731"/>
    <x v="0"/>
    <x v="1"/>
    <n v="60000"/>
    <x v="4"/>
    <x v="2"/>
    <s v="Professional"/>
    <x v="0"/>
    <x v="2"/>
    <x v="1"/>
    <x v="2"/>
    <n v="54"/>
    <x v="2"/>
    <s v="Middle Age"/>
    <x v="1"/>
  </r>
  <r>
    <n v="28672"/>
    <x v="1"/>
    <x v="1"/>
    <n v="70000"/>
    <x v="5"/>
    <x v="4"/>
    <s v="Professional"/>
    <x v="0"/>
    <x v="0"/>
    <x v="1"/>
    <x v="2"/>
    <n v="35"/>
    <x v="0"/>
    <s v="Millennials"/>
    <x v="1"/>
  </r>
  <r>
    <n v="11809"/>
    <x v="0"/>
    <x v="1"/>
    <n v="60000"/>
    <x v="4"/>
    <x v="0"/>
    <s v="Skilled Manual"/>
    <x v="0"/>
    <x v="0"/>
    <x v="0"/>
    <x v="2"/>
    <n v="38"/>
    <x v="0"/>
    <s v="Millennials"/>
    <x v="1"/>
  </r>
  <r>
    <n v="19664"/>
    <x v="1"/>
    <x v="1"/>
    <n v="100000"/>
    <x v="1"/>
    <x v="0"/>
    <s v="Management"/>
    <x v="1"/>
    <x v="4"/>
    <x v="3"/>
    <x v="2"/>
    <n v="38"/>
    <x v="0"/>
    <s v="Millennials"/>
    <x v="0"/>
  </r>
  <r>
    <n v="12121"/>
    <x v="1"/>
    <x v="1"/>
    <n v="60000"/>
    <x v="1"/>
    <x v="2"/>
    <s v="Professional"/>
    <x v="0"/>
    <x v="2"/>
    <x v="4"/>
    <x v="2"/>
    <n v="53"/>
    <x v="2"/>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25288-C6A0-4D5F-9D03-01AA3A02E8FB}"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0:D84" firstHeaderRow="1" firstDataRow="2" firstDataCol="1"/>
  <pivotFields count="15">
    <pivotField showAll="0"/>
    <pivotField showAll="0"/>
    <pivotField showAll="0"/>
    <pivotField numFmtId="168" showAll="0"/>
    <pivotField showAll="0"/>
    <pivotField showAll="0"/>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axis="axisCol" dataField="1" showAll="0">
      <items count="3">
        <item x="0"/>
        <item x="1"/>
        <item t="default"/>
      </items>
    </pivotField>
  </pivotFields>
  <rowFields count="1">
    <field x="7"/>
  </rowFields>
  <rowItems count="3">
    <i>
      <x/>
    </i>
    <i>
      <x v="1"/>
    </i>
    <i t="grand">
      <x/>
    </i>
  </rowItems>
  <colFields count="1">
    <field x="14"/>
  </colFields>
  <colItems count="3">
    <i>
      <x/>
    </i>
    <i>
      <x v="1"/>
    </i>
    <i t="grand">
      <x/>
    </i>
  </colItems>
  <dataFields count="1">
    <dataField name="Count of Purchased Bike" fld="14" subtotal="count" baseField="0" baseItem="0"/>
  </dataField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2">
          <reference field="4294967294" count="1" selected="0">
            <x v="0"/>
          </reference>
          <reference field="14" count="1" selected="0">
            <x v="1"/>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2" format="4"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FAE80-3FC8-451D-902B-C4BAFBD80F23}"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8:B72" firstHeaderRow="1" firstDataRow="1" firstDataCol="1"/>
  <pivotFields count="15">
    <pivotField showAll="0"/>
    <pivotField showAll="0"/>
    <pivotField showAll="0"/>
    <pivotField numFmtId="168"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D4FCB-2A79-4230-AE37-896B5FB293A9}"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B61" firstHeaderRow="1" firstDataRow="1" firstDataCol="1"/>
  <pivotFields count="15">
    <pivotField dataField="1" showAll="0"/>
    <pivotField showAll="0"/>
    <pivotField showAll="0"/>
    <pivotField numFmtId="168"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Count of ID" fld="0" subtotal="count" baseField="1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544FD-B717-4097-9153-69F1E9EE449F}"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A56" firstHeaderRow="1" firstDataRow="1" firstDataCol="0"/>
  <pivotFields count="15">
    <pivotField dataField="1" showAll="0"/>
    <pivotField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2BC1F-4CE3-43ED-B27B-C52209E7C268}"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D42" firstHeaderRow="1" firstDataRow="2" firstDataCol="1"/>
  <pivotFields count="15">
    <pivotField showAll="0"/>
    <pivotField showAll="0">
      <items count="3">
        <item x="0"/>
        <item x="1"/>
        <item t="default"/>
      </items>
    </pivotField>
    <pivotField showAll="0"/>
    <pivotField numFmtId="168"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10">
        <item x="0"/>
        <item x="2"/>
        <item x="3"/>
        <item x="1"/>
        <item m="1" x="7"/>
        <item m="1" x="6"/>
        <item m="1" x="4"/>
        <item m="1" x="5"/>
        <item m="1" x="8"/>
        <item t="default"/>
      </items>
    </pivotField>
    <pivotField showAll="0"/>
    <pivotField axis="axisCol" dataField="1" showAll="0">
      <items count="3">
        <item x="0"/>
        <item x="1"/>
        <item t="default"/>
      </items>
    </pivotField>
  </pivotFields>
  <rowFields count="1">
    <field x="12"/>
  </rowFields>
  <rowItems count="5">
    <i>
      <x/>
    </i>
    <i>
      <x v="1"/>
    </i>
    <i>
      <x v="2"/>
    </i>
    <i>
      <x v="3"/>
    </i>
    <i t="grand">
      <x/>
    </i>
  </rowItems>
  <colFields count="1">
    <field x="14"/>
  </colFields>
  <colItems count="3">
    <i>
      <x/>
    </i>
    <i>
      <x v="1"/>
    </i>
    <i t="grand">
      <x/>
    </i>
  </colItems>
  <dataFields count="1">
    <dataField name="Count of Purchased Bike" fld="14" subtotal="count" baseField="0" baseItem="0"/>
  </dataFields>
  <chartFormats count="7">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 chart="7" format="6">
      <pivotArea type="data" outline="0" fieldPosition="0">
        <references count="3">
          <reference field="4294967294" count="1" selected="0">
            <x v="0"/>
          </reference>
          <reference field="12" count="1" selected="0">
            <x v="2"/>
          </reference>
          <reference field="14" count="1" selected="0">
            <x v="1"/>
          </reference>
        </references>
      </pivotArea>
    </chartFormat>
    <chartFormat chart="7" format="7">
      <pivotArea type="data" outline="0" fieldPosition="0">
        <references count="3">
          <reference field="4294967294" count="1" selected="0">
            <x v="0"/>
          </reference>
          <reference field="12" count="1" selected="0">
            <x v="3"/>
          </reference>
          <reference field="14" count="1" selected="0">
            <x v="1"/>
          </reference>
        </references>
      </pivotArea>
    </chartFormat>
    <chartFormat chart="7" format="8">
      <pivotArea type="data" outline="0" fieldPosition="0">
        <references count="3">
          <reference field="4294967294" count="1" selected="0">
            <x v="0"/>
          </reference>
          <reference field="12" count="1" selected="0">
            <x v="3"/>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6DC0BC-E045-4A39-B76C-D7C6260A907E}"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D25" firstHeaderRow="1" firstDataRow="2" firstDataCol="1"/>
  <pivotFields count="15">
    <pivotField showAll="0"/>
    <pivotField showAll="0"/>
    <pivotField showAll="0"/>
    <pivotField numFmtId="168"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8BAF16-606C-4DDF-B0C0-466C0B626878}"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5">
    <pivotField showAll="0"/>
    <pivotField showAll="0"/>
    <pivotField axis="axisRow" showAll="0">
      <items count="3">
        <item x="0"/>
        <item x="1"/>
        <item t="default"/>
      </items>
    </pivotField>
    <pivotField dataField="1" numFmtId="168"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8F8D36-71FD-4EBA-AE7E-17862A59B9A2}" sourceName="Marital Status">
  <pivotTables>
    <pivotTable tabId="4" name="PivotTable3"/>
  </pivotTables>
  <data>
    <tabular pivotCacheId="3868493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C54116-A9C8-46F3-B368-5F1FA08AD2B0}" sourceName="Region">
  <pivotTables>
    <pivotTable tabId="4" name="PivotTable3"/>
  </pivotTables>
  <data>
    <tabular pivotCacheId="38684935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D8DDF4DE-A45C-4F24-8890-FE9E35146685}" sourceName="Children">
  <pivotTables>
    <pivotTable tabId="4" name="PivotTable3"/>
  </pivotTables>
  <data>
    <tabular pivotCacheId="386849356">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607ED55-DC92-46D8-A129-592E9F5904FA}" sourceName="Home Owner">
  <pivotTables>
    <pivotTable tabId="4" name="PivotTable3"/>
  </pivotTables>
  <data>
    <tabular pivotCacheId="38684935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6CC13AEE-316E-4910-97B3-A4CA19C5970A}" sourceName="Cars">
  <pivotTables>
    <pivotTable tabId="4" name="PivotTable3"/>
  </pivotTables>
  <data>
    <tabular pivotCacheId="386849356">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CA42CCE-6DE8-477A-955F-7314411BB69C}" cache="Slicer_Marital_Status" caption="Marital Status" rowHeight="241300"/>
  <slicer name="Region" xr10:uid="{EA96D178-9F87-4F22-ADE7-1AFC43583D4E}" cache="Slicer_Region" caption="Region" rowHeight="241300"/>
  <slicer name="Children" xr10:uid="{5168AF3D-C721-4B58-9F33-A7BD60EE9DD3}" cache="Slicer_Children" caption="Children" rowHeight="241300"/>
  <slicer name="Home Owner" xr10:uid="{B0D517A2-C1BE-4205-87E5-2399910F8FE9}" cache="Slicer_Home_Owner" caption="Home Owner" rowHeight="241300"/>
  <slicer name="Cars" xr10:uid="{BE72E1E5-0F8C-47E9-96B8-1AF9306AC6D9}" cache="Slicer_Cars" caption="Ca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3DF8C1-83A2-4DCA-90A8-0FA18CA54F55}" name="Table3" displayName="Table3" ref="D69:E72" totalsRowShown="0">
  <autoFilter ref="D69:E72" xr:uid="{DA3DF8C1-83A2-4DCA-90A8-0FA18CA54F55}"/>
  <tableColumns count="2">
    <tableColumn id="1" xr3:uid="{A3E4189A-0E1B-46EB-AFC2-2A00BC496495}" name="Column1">
      <calculatedColumnFormula>A69</calculatedColumnFormula>
    </tableColumn>
    <tableColumn id="2" xr3:uid="{2BF42777-F6A1-4E43-9C6E-9A9E19F2F1BB}" name="Column2">
      <calculatedColumnFormula>B69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7" sqref="J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E6D66-C5DD-454B-BEF1-92A841409E49}">
  <dimension ref="A1:O1001"/>
  <sheetViews>
    <sheetView topLeftCell="C1" zoomScaleNormal="100" workbookViewId="0">
      <selection activeCell="C22" sqref="C22"/>
    </sheetView>
  </sheetViews>
  <sheetFormatPr defaultColWidth="11.85546875" defaultRowHeight="15" x14ac:dyDescent="0.25"/>
  <cols>
    <col min="1" max="1" width="9.42578125" customWidth="1"/>
    <col min="2" max="2" width="18.28515625" customWidth="1"/>
    <col min="3" max="3" width="19.7109375" customWidth="1"/>
    <col min="4" max="4" width="18.42578125" customWidth="1"/>
    <col min="5" max="5" width="15.140625" customWidth="1"/>
    <col min="6" max="6" width="22.28515625" customWidth="1"/>
    <col min="7" max="7" width="14.140625" bestFit="1" customWidth="1"/>
    <col min="8" max="8" width="12.7109375" bestFit="1" customWidth="1"/>
    <col min="9" max="9" width="6.5703125" customWidth="1"/>
    <col min="10" max="10" width="18" bestFit="1" customWidth="1"/>
    <col min="11" max="11" width="14" bestFit="1" customWidth="1"/>
    <col min="12" max="12" width="7.42578125" customWidth="1"/>
    <col min="13" max="13" width="10.42578125" bestFit="1" customWidth="1"/>
    <col min="14" max="14" width="16.5703125" bestFit="1" customWidth="1"/>
    <col min="15" max="15" width="14.5703125" bestFit="1" customWidth="1"/>
  </cols>
  <sheetData>
    <row r="1" spans="1:15" x14ac:dyDescent="0.25">
      <c r="A1" s="3" t="s">
        <v>0</v>
      </c>
      <c r="B1" s="3" t="s">
        <v>1</v>
      </c>
      <c r="C1" s="3" t="s">
        <v>2</v>
      </c>
      <c r="D1" s="3" t="s">
        <v>3</v>
      </c>
      <c r="E1" s="3" t="s">
        <v>4</v>
      </c>
      <c r="F1" s="3" t="s">
        <v>5</v>
      </c>
      <c r="G1" s="3" t="s">
        <v>6</v>
      </c>
      <c r="H1" s="3" t="s">
        <v>7</v>
      </c>
      <c r="I1" s="3" t="s">
        <v>8</v>
      </c>
      <c r="J1" s="3" t="s">
        <v>9</v>
      </c>
      <c r="K1" s="3" t="s">
        <v>10</v>
      </c>
      <c r="L1" s="3" t="s">
        <v>11</v>
      </c>
      <c r="M1" s="3" t="s">
        <v>40</v>
      </c>
      <c r="N1" s="3" t="s">
        <v>55</v>
      </c>
      <c r="O1" s="3" t="s">
        <v>12</v>
      </c>
    </row>
    <row r="2" spans="1:15" x14ac:dyDescent="0.25">
      <c r="A2" s="6">
        <v>12496</v>
      </c>
      <c r="B2" s="3" t="s">
        <v>36</v>
      </c>
      <c r="C2" s="3" t="s">
        <v>39</v>
      </c>
      <c r="D2" s="4">
        <v>40000</v>
      </c>
      <c r="E2" s="3">
        <v>1</v>
      </c>
      <c r="F2" s="3" t="s">
        <v>13</v>
      </c>
      <c r="G2" s="3" t="s">
        <v>14</v>
      </c>
      <c r="H2" s="3" t="s">
        <v>15</v>
      </c>
      <c r="I2" s="3">
        <v>0</v>
      </c>
      <c r="J2" s="3" t="s">
        <v>16</v>
      </c>
      <c r="K2" s="3" t="s">
        <v>17</v>
      </c>
      <c r="L2" s="3">
        <v>42</v>
      </c>
      <c r="M2" s="3" t="s">
        <v>53</v>
      </c>
      <c r="N2" s="3" t="s">
        <v>49</v>
      </c>
      <c r="O2" s="3" t="s">
        <v>18</v>
      </c>
    </row>
    <row r="3" spans="1:15" x14ac:dyDescent="0.25">
      <c r="A3" s="3">
        <v>24107</v>
      </c>
      <c r="B3" s="3" t="s">
        <v>36</v>
      </c>
      <c r="C3" s="3" t="s">
        <v>38</v>
      </c>
      <c r="D3" s="4">
        <v>30000</v>
      </c>
      <c r="E3" s="3">
        <v>3</v>
      </c>
      <c r="F3" s="3" t="s">
        <v>19</v>
      </c>
      <c r="G3" s="3" t="s">
        <v>20</v>
      </c>
      <c r="H3" s="3" t="s">
        <v>15</v>
      </c>
      <c r="I3" s="3">
        <v>1</v>
      </c>
      <c r="J3" s="3" t="s">
        <v>16</v>
      </c>
      <c r="K3" s="3" t="s">
        <v>17</v>
      </c>
      <c r="L3" s="3">
        <v>43</v>
      </c>
      <c r="M3" s="3" t="s">
        <v>53</v>
      </c>
      <c r="N3" s="3" t="s">
        <v>49</v>
      </c>
      <c r="O3" s="3" t="s">
        <v>18</v>
      </c>
    </row>
    <row r="4" spans="1:15" x14ac:dyDescent="0.25">
      <c r="A4" s="3">
        <v>14177</v>
      </c>
      <c r="B4" s="3" t="s">
        <v>36</v>
      </c>
      <c r="C4" s="3" t="s">
        <v>38</v>
      </c>
      <c r="D4" s="4">
        <v>80000</v>
      </c>
      <c r="E4" s="3">
        <v>5</v>
      </c>
      <c r="F4" s="3" t="s">
        <v>19</v>
      </c>
      <c r="G4" s="3" t="s">
        <v>21</v>
      </c>
      <c r="H4" s="3" t="s">
        <v>18</v>
      </c>
      <c r="I4" s="3">
        <v>2</v>
      </c>
      <c r="J4" s="3" t="s">
        <v>22</v>
      </c>
      <c r="K4" s="3" t="s">
        <v>17</v>
      </c>
      <c r="L4" s="3">
        <v>60</v>
      </c>
      <c r="M4" s="3" t="s">
        <v>54</v>
      </c>
      <c r="N4" s="3" t="s">
        <v>50</v>
      </c>
      <c r="O4" s="3" t="s">
        <v>18</v>
      </c>
    </row>
    <row r="5" spans="1:15" x14ac:dyDescent="0.25">
      <c r="A5" s="3">
        <v>24381</v>
      </c>
      <c r="B5" s="3" t="s">
        <v>37</v>
      </c>
      <c r="C5" s="3" t="s">
        <v>38</v>
      </c>
      <c r="D5" s="4">
        <v>70000</v>
      </c>
      <c r="E5" s="3">
        <v>0</v>
      </c>
      <c r="F5" s="3" t="s">
        <v>13</v>
      </c>
      <c r="G5" s="3" t="s">
        <v>21</v>
      </c>
      <c r="H5" s="3" t="s">
        <v>15</v>
      </c>
      <c r="I5" s="3">
        <v>1</v>
      </c>
      <c r="J5" s="3" t="s">
        <v>23</v>
      </c>
      <c r="K5" s="3" t="s">
        <v>24</v>
      </c>
      <c r="L5" s="3">
        <v>41</v>
      </c>
      <c r="M5" s="3" t="s">
        <v>53</v>
      </c>
      <c r="N5" s="3" t="s">
        <v>49</v>
      </c>
      <c r="O5" s="3" t="s">
        <v>15</v>
      </c>
    </row>
    <row r="6" spans="1:15" x14ac:dyDescent="0.25">
      <c r="A6" s="3">
        <v>25597</v>
      </c>
      <c r="B6" s="3" t="s">
        <v>37</v>
      </c>
      <c r="C6" s="3" t="s">
        <v>38</v>
      </c>
      <c r="D6" s="4">
        <v>30000</v>
      </c>
      <c r="E6" s="3">
        <v>0</v>
      </c>
      <c r="F6" s="3" t="s">
        <v>13</v>
      </c>
      <c r="G6" s="3" t="s">
        <v>20</v>
      </c>
      <c r="H6" s="3" t="s">
        <v>18</v>
      </c>
      <c r="I6" s="3">
        <v>0</v>
      </c>
      <c r="J6" s="3" t="s">
        <v>16</v>
      </c>
      <c r="K6" s="3" t="s">
        <v>17</v>
      </c>
      <c r="L6" s="3">
        <v>36</v>
      </c>
      <c r="M6" s="3" t="s">
        <v>53</v>
      </c>
      <c r="N6" s="3" t="s">
        <v>49</v>
      </c>
      <c r="O6" s="3" t="s">
        <v>15</v>
      </c>
    </row>
    <row r="7" spans="1:15" x14ac:dyDescent="0.25">
      <c r="A7" s="3">
        <v>13507</v>
      </c>
      <c r="B7" s="3" t="s">
        <v>36</v>
      </c>
      <c r="C7" s="3" t="s">
        <v>39</v>
      </c>
      <c r="D7" s="4">
        <v>10000</v>
      </c>
      <c r="E7" s="3">
        <v>2</v>
      </c>
      <c r="F7" s="3" t="s">
        <v>19</v>
      </c>
      <c r="G7" s="3" t="s">
        <v>25</v>
      </c>
      <c r="H7" s="3" t="s">
        <v>15</v>
      </c>
      <c r="I7" s="3">
        <v>0</v>
      </c>
      <c r="J7" s="3" t="s">
        <v>26</v>
      </c>
      <c r="K7" s="3" t="s">
        <v>17</v>
      </c>
      <c r="L7" s="3">
        <v>50</v>
      </c>
      <c r="M7" s="3" t="s">
        <v>51</v>
      </c>
      <c r="N7" s="3" t="s">
        <v>48</v>
      </c>
      <c r="O7" s="3" t="s">
        <v>18</v>
      </c>
    </row>
    <row r="8" spans="1:15" x14ac:dyDescent="0.25">
      <c r="A8" s="3">
        <v>27974</v>
      </c>
      <c r="B8" s="3" t="s">
        <v>37</v>
      </c>
      <c r="C8" s="3" t="s">
        <v>38</v>
      </c>
      <c r="D8" s="4">
        <v>160000</v>
      </c>
      <c r="E8" s="3">
        <v>2</v>
      </c>
      <c r="F8" s="3" t="s">
        <v>27</v>
      </c>
      <c r="G8" s="3" t="s">
        <v>28</v>
      </c>
      <c r="H8" s="3" t="s">
        <v>15</v>
      </c>
      <c r="I8" s="3">
        <v>4</v>
      </c>
      <c r="J8" s="3" t="s">
        <v>16</v>
      </c>
      <c r="K8" s="3" t="s">
        <v>24</v>
      </c>
      <c r="L8" s="3">
        <v>33</v>
      </c>
      <c r="M8" s="3" t="s">
        <v>53</v>
      </c>
      <c r="N8" s="3" t="s">
        <v>49</v>
      </c>
      <c r="O8" s="3" t="s">
        <v>15</v>
      </c>
    </row>
    <row r="9" spans="1:15" x14ac:dyDescent="0.25">
      <c r="A9" s="3">
        <v>19364</v>
      </c>
      <c r="B9" s="3" t="s">
        <v>36</v>
      </c>
      <c r="C9" s="3" t="s">
        <v>38</v>
      </c>
      <c r="D9" s="4">
        <v>40000</v>
      </c>
      <c r="E9" s="3">
        <v>1</v>
      </c>
      <c r="F9" s="3" t="s">
        <v>13</v>
      </c>
      <c r="G9" s="3" t="s">
        <v>14</v>
      </c>
      <c r="H9" s="3" t="s">
        <v>15</v>
      </c>
      <c r="I9" s="3">
        <v>0</v>
      </c>
      <c r="J9" s="3" t="s">
        <v>16</v>
      </c>
      <c r="K9" s="3" t="s">
        <v>17</v>
      </c>
      <c r="L9" s="3">
        <v>43</v>
      </c>
      <c r="M9" s="3" t="s">
        <v>53</v>
      </c>
      <c r="N9" s="3" t="s">
        <v>49</v>
      </c>
      <c r="O9" s="3" t="s">
        <v>15</v>
      </c>
    </row>
    <row r="10" spans="1:15" x14ac:dyDescent="0.25">
      <c r="A10" s="3">
        <v>22155</v>
      </c>
      <c r="B10" s="3" t="s">
        <v>36</v>
      </c>
      <c r="C10" s="3" t="s">
        <v>38</v>
      </c>
      <c r="D10" s="4">
        <v>20000</v>
      </c>
      <c r="E10" s="3">
        <v>2</v>
      </c>
      <c r="F10" s="3" t="s">
        <v>29</v>
      </c>
      <c r="G10" s="3" t="s">
        <v>20</v>
      </c>
      <c r="H10" s="3" t="s">
        <v>15</v>
      </c>
      <c r="I10" s="3">
        <v>2</v>
      </c>
      <c r="J10" s="3" t="s">
        <v>23</v>
      </c>
      <c r="K10" s="3" t="s">
        <v>24</v>
      </c>
      <c r="L10" s="3">
        <v>58</v>
      </c>
      <c r="M10" s="3" t="s">
        <v>54</v>
      </c>
      <c r="N10" s="3" t="s">
        <v>50</v>
      </c>
      <c r="O10" s="3" t="s">
        <v>18</v>
      </c>
    </row>
    <row r="11" spans="1:15" x14ac:dyDescent="0.25">
      <c r="A11" s="3">
        <v>19280</v>
      </c>
      <c r="B11" s="3" t="s">
        <v>36</v>
      </c>
      <c r="C11" s="3" t="s">
        <v>38</v>
      </c>
      <c r="D11" s="4">
        <v>120000</v>
      </c>
      <c r="E11" s="3">
        <v>2</v>
      </c>
      <c r="F11" s="3" t="s">
        <v>19</v>
      </c>
      <c r="G11" s="3" t="s">
        <v>25</v>
      </c>
      <c r="H11" s="3" t="s">
        <v>15</v>
      </c>
      <c r="I11" s="3">
        <v>1</v>
      </c>
      <c r="J11" s="3" t="s">
        <v>16</v>
      </c>
      <c r="K11" s="3" t="s">
        <v>17</v>
      </c>
      <c r="L11" s="3">
        <v>40</v>
      </c>
      <c r="M11" s="3" t="s">
        <v>53</v>
      </c>
      <c r="N11" s="3" t="s">
        <v>49</v>
      </c>
      <c r="O11" s="3" t="s">
        <v>15</v>
      </c>
    </row>
    <row r="12" spans="1:15" x14ac:dyDescent="0.25">
      <c r="A12" s="3">
        <v>22173</v>
      </c>
      <c r="B12" s="3" t="s">
        <v>36</v>
      </c>
      <c r="C12" s="3" t="s">
        <v>39</v>
      </c>
      <c r="D12" s="4">
        <v>30000</v>
      </c>
      <c r="E12" s="3">
        <v>3</v>
      </c>
      <c r="F12" s="3" t="s">
        <v>27</v>
      </c>
      <c r="G12" s="3" t="s">
        <v>14</v>
      </c>
      <c r="H12" s="3" t="s">
        <v>18</v>
      </c>
      <c r="I12" s="3">
        <v>2</v>
      </c>
      <c r="J12" s="3" t="s">
        <v>26</v>
      </c>
      <c r="K12" s="3" t="s">
        <v>24</v>
      </c>
      <c r="L12" s="3">
        <v>54</v>
      </c>
      <c r="M12" s="3" t="s">
        <v>51</v>
      </c>
      <c r="N12" s="3" t="s">
        <v>48</v>
      </c>
      <c r="O12" s="3" t="s">
        <v>15</v>
      </c>
    </row>
    <row r="13" spans="1:15" x14ac:dyDescent="0.25">
      <c r="A13" s="3">
        <v>12697</v>
      </c>
      <c r="B13" s="3" t="s">
        <v>37</v>
      </c>
      <c r="C13" s="3" t="s">
        <v>39</v>
      </c>
      <c r="D13" s="4">
        <v>90000</v>
      </c>
      <c r="E13" s="3">
        <v>0</v>
      </c>
      <c r="F13" s="3" t="s">
        <v>13</v>
      </c>
      <c r="G13" s="3" t="s">
        <v>21</v>
      </c>
      <c r="H13" s="3" t="s">
        <v>18</v>
      </c>
      <c r="I13" s="3">
        <v>4</v>
      </c>
      <c r="J13" s="3" t="s">
        <v>46</v>
      </c>
      <c r="K13" s="3" t="s">
        <v>24</v>
      </c>
      <c r="L13" s="3">
        <v>36</v>
      </c>
      <c r="M13" s="3" t="s">
        <v>53</v>
      </c>
      <c r="N13" s="3" t="s">
        <v>49</v>
      </c>
      <c r="O13" s="3" t="s">
        <v>18</v>
      </c>
    </row>
    <row r="14" spans="1:15" x14ac:dyDescent="0.25">
      <c r="A14" s="3">
        <v>11434</v>
      </c>
      <c r="B14" s="3" t="s">
        <v>36</v>
      </c>
      <c r="C14" s="3" t="s">
        <v>38</v>
      </c>
      <c r="D14" s="4">
        <v>170000</v>
      </c>
      <c r="E14" s="3">
        <v>5</v>
      </c>
      <c r="F14" s="3" t="s">
        <v>19</v>
      </c>
      <c r="G14" s="3" t="s">
        <v>21</v>
      </c>
      <c r="H14" s="3" t="s">
        <v>15</v>
      </c>
      <c r="I14" s="3">
        <v>0</v>
      </c>
      <c r="J14" s="3" t="s">
        <v>16</v>
      </c>
      <c r="K14" s="3" t="s">
        <v>17</v>
      </c>
      <c r="L14" s="3">
        <v>55</v>
      </c>
      <c r="M14" s="3" t="s">
        <v>52</v>
      </c>
      <c r="N14" s="3" t="s">
        <v>47</v>
      </c>
      <c r="O14" s="3" t="s">
        <v>18</v>
      </c>
    </row>
    <row r="15" spans="1:15" x14ac:dyDescent="0.25">
      <c r="A15" s="3">
        <v>25323</v>
      </c>
      <c r="B15" s="3" t="s">
        <v>36</v>
      </c>
      <c r="C15" s="3" t="s">
        <v>38</v>
      </c>
      <c r="D15" s="4">
        <v>40000</v>
      </c>
      <c r="E15" s="3">
        <v>2</v>
      </c>
      <c r="F15" s="3" t="s">
        <v>19</v>
      </c>
      <c r="G15" s="3" t="s">
        <v>20</v>
      </c>
      <c r="H15" s="3" t="s">
        <v>15</v>
      </c>
      <c r="I15" s="3">
        <v>1</v>
      </c>
      <c r="J15" s="3" t="s">
        <v>26</v>
      </c>
      <c r="K15" s="3" t="s">
        <v>17</v>
      </c>
      <c r="L15" s="3">
        <v>35</v>
      </c>
      <c r="M15" s="3" t="s">
        <v>53</v>
      </c>
      <c r="N15" s="3" t="s">
        <v>49</v>
      </c>
      <c r="O15" s="3" t="s">
        <v>15</v>
      </c>
    </row>
    <row r="16" spans="1:15" x14ac:dyDescent="0.25">
      <c r="A16" s="3">
        <v>23542</v>
      </c>
      <c r="B16" s="3" t="s">
        <v>37</v>
      </c>
      <c r="C16" s="3" t="s">
        <v>38</v>
      </c>
      <c r="D16" s="4">
        <v>60000</v>
      </c>
      <c r="E16" s="3">
        <v>1</v>
      </c>
      <c r="F16" s="3" t="s">
        <v>19</v>
      </c>
      <c r="G16" s="3" t="s">
        <v>14</v>
      </c>
      <c r="H16" s="3" t="s">
        <v>18</v>
      </c>
      <c r="I16" s="3">
        <v>1</v>
      </c>
      <c r="J16" s="3" t="s">
        <v>16</v>
      </c>
      <c r="K16" s="3" t="s">
        <v>24</v>
      </c>
      <c r="L16" s="3">
        <v>45</v>
      </c>
      <c r="M16" s="3" t="s">
        <v>51</v>
      </c>
      <c r="N16" s="3" t="s">
        <v>48</v>
      </c>
      <c r="O16" s="3" t="s">
        <v>15</v>
      </c>
    </row>
    <row r="17" spans="1:15" x14ac:dyDescent="0.25">
      <c r="A17" s="3">
        <v>20870</v>
      </c>
      <c r="B17" s="3" t="s">
        <v>37</v>
      </c>
      <c r="C17" s="3" t="s">
        <v>39</v>
      </c>
      <c r="D17" s="4">
        <v>10000</v>
      </c>
      <c r="E17" s="3">
        <v>2</v>
      </c>
      <c r="F17" s="3" t="s">
        <v>27</v>
      </c>
      <c r="G17" s="3" t="s">
        <v>25</v>
      </c>
      <c r="H17" s="3" t="s">
        <v>15</v>
      </c>
      <c r="I17" s="3">
        <v>1</v>
      </c>
      <c r="J17" s="3" t="s">
        <v>16</v>
      </c>
      <c r="K17" s="3" t="s">
        <v>17</v>
      </c>
      <c r="L17" s="3">
        <v>38</v>
      </c>
      <c r="M17" s="3" t="s">
        <v>53</v>
      </c>
      <c r="N17" s="3" t="s">
        <v>49</v>
      </c>
      <c r="O17" s="3" t="s">
        <v>15</v>
      </c>
    </row>
    <row r="18" spans="1:15" x14ac:dyDescent="0.25">
      <c r="A18" s="3">
        <v>23316</v>
      </c>
      <c r="B18" s="3" t="s">
        <v>37</v>
      </c>
      <c r="C18" s="3" t="s">
        <v>38</v>
      </c>
      <c r="D18" s="4">
        <v>30000</v>
      </c>
      <c r="E18" s="3">
        <v>3</v>
      </c>
      <c r="F18" s="3" t="s">
        <v>19</v>
      </c>
      <c r="G18" s="3" t="s">
        <v>20</v>
      </c>
      <c r="H18" s="3" t="s">
        <v>18</v>
      </c>
      <c r="I18" s="3">
        <v>2</v>
      </c>
      <c r="J18" s="3" t="s">
        <v>26</v>
      </c>
      <c r="K18" s="3" t="s">
        <v>24</v>
      </c>
      <c r="L18" s="3">
        <v>59</v>
      </c>
      <c r="M18" s="3" t="s">
        <v>54</v>
      </c>
      <c r="N18" s="3" t="s">
        <v>50</v>
      </c>
      <c r="O18" s="3" t="s">
        <v>15</v>
      </c>
    </row>
    <row r="19" spans="1:15" x14ac:dyDescent="0.25">
      <c r="A19" s="3">
        <v>12610</v>
      </c>
      <c r="B19" s="3" t="s">
        <v>36</v>
      </c>
      <c r="C19" s="3" t="s">
        <v>39</v>
      </c>
      <c r="D19" s="4">
        <v>30000</v>
      </c>
      <c r="E19" s="3">
        <v>1</v>
      </c>
      <c r="F19" s="3" t="s">
        <v>13</v>
      </c>
      <c r="G19" s="3" t="s">
        <v>20</v>
      </c>
      <c r="H19" s="3" t="s">
        <v>15</v>
      </c>
      <c r="I19" s="3">
        <v>0</v>
      </c>
      <c r="J19" s="3" t="s">
        <v>16</v>
      </c>
      <c r="K19" s="3" t="s">
        <v>17</v>
      </c>
      <c r="L19" s="3">
        <v>47</v>
      </c>
      <c r="M19" s="3" t="s">
        <v>51</v>
      </c>
      <c r="N19" s="3" t="s">
        <v>48</v>
      </c>
      <c r="O19" s="3" t="s">
        <v>18</v>
      </c>
    </row>
    <row r="20" spans="1:15" x14ac:dyDescent="0.25">
      <c r="A20" s="3">
        <v>27183</v>
      </c>
      <c r="B20" s="3" t="s">
        <v>37</v>
      </c>
      <c r="C20" s="3" t="s">
        <v>38</v>
      </c>
      <c r="D20" s="4">
        <v>40000</v>
      </c>
      <c r="E20" s="3">
        <v>2</v>
      </c>
      <c r="F20" s="3" t="s">
        <v>19</v>
      </c>
      <c r="G20" s="3" t="s">
        <v>20</v>
      </c>
      <c r="H20" s="3" t="s">
        <v>15</v>
      </c>
      <c r="I20" s="3">
        <v>1</v>
      </c>
      <c r="J20" s="3" t="s">
        <v>26</v>
      </c>
      <c r="K20" s="3" t="s">
        <v>17</v>
      </c>
      <c r="L20" s="3">
        <v>35</v>
      </c>
      <c r="M20" s="3" t="s">
        <v>53</v>
      </c>
      <c r="N20" s="3" t="s">
        <v>49</v>
      </c>
      <c r="O20" s="3" t="s">
        <v>15</v>
      </c>
    </row>
    <row r="21" spans="1:15" x14ac:dyDescent="0.25">
      <c r="A21" s="3">
        <v>25940</v>
      </c>
      <c r="B21" s="3" t="s">
        <v>37</v>
      </c>
      <c r="C21" s="3" t="s">
        <v>38</v>
      </c>
      <c r="D21" s="4">
        <v>20000</v>
      </c>
      <c r="E21" s="3">
        <v>2</v>
      </c>
      <c r="F21" s="3" t="s">
        <v>29</v>
      </c>
      <c r="G21" s="3" t="s">
        <v>20</v>
      </c>
      <c r="H21" s="3" t="s">
        <v>15</v>
      </c>
      <c r="I21" s="3">
        <v>2</v>
      </c>
      <c r="J21" s="3" t="s">
        <v>23</v>
      </c>
      <c r="K21" s="3" t="s">
        <v>24</v>
      </c>
      <c r="L21" s="3">
        <v>55</v>
      </c>
      <c r="M21" s="3" t="s">
        <v>52</v>
      </c>
      <c r="N21" s="3" t="s">
        <v>47</v>
      </c>
      <c r="O21" s="3" t="s">
        <v>15</v>
      </c>
    </row>
    <row r="22" spans="1:15" x14ac:dyDescent="0.25">
      <c r="A22" s="3">
        <v>25598</v>
      </c>
      <c r="B22" s="3" t="s">
        <v>36</v>
      </c>
      <c r="C22" s="3" t="s">
        <v>39</v>
      </c>
      <c r="D22" s="4">
        <v>40000</v>
      </c>
      <c r="E22" s="3">
        <v>0</v>
      </c>
      <c r="F22" s="3" t="s">
        <v>31</v>
      </c>
      <c r="G22" s="3" t="s">
        <v>20</v>
      </c>
      <c r="H22" s="3" t="s">
        <v>15</v>
      </c>
      <c r="I22" s="3">
        <v>0</v>
      </c>
      <c r="J22" s="3" t="s">
        <v>16</v>
      </c>
      <c r="K22" s="3" t="s">
        <v>17</v>
      </c>
      <c r="L22" s="3">
        <v>36</v>
      </c>
      <c r="M22" s="3" t="s">
        <v>53</v>
      </c>
      <c r="N22" s="3" t="s">
        <v>49</v>
      </c>
      <c r="O22" s="3" t="s">
        <v>15</v>
      </c>
    </row>
    <row r="23" spans="1:15" x14ac:dyDescent="0.25">
      <c r="A23" s="3">
        <v>21564</v>
      </c>
      <c r="B23" s="3" t="s">
        <v>37</v>
      </c>
      <c r="C23" s="3" t="s">
        <v>39</v>
      </c>
      <c r="D23" s="4">
        <v>80000</v>
      </c>
      <c r="E23" s="3">
        <v>0</v>
      </c>
      <c r="F23" s="3" t="s">
        <v>13</v>
      </c>
      <c r="G23" s="3" t="s">
        <v>21</v>
      </c>
      <c r="H23" s="3" t="s">
        <v>15</v>
      </c>
      <c r="I23" s="3">
        <v>4</v>
      </c>
      <c r="J23" s="3" t="s">
        <v>46</v>
      </c>
      <c r="K23" s="3" t="s">
        <v>24</v>
      </c>
      <c r="L23" s="3">
        <v>35</v>
      </c>
      <c r="M23" s="3" t="s">
        <v>53</v>
      </c>
      <c r="N23" s="3" t="s">
        <v>49</v>
      </c>
      <c r="O23" s="3" t="s">
        <v>18</v>
      </c>
    </row>
    <row r="24" spans="1:15" x14ac:dyDescent="0.25">
      <c r="A24" s="3">
        <v>19193</v>
      </c>
      <c r="B24" s="3" t="s">
        <v>37</v>
      </c>
      <c r="C24" s="3" t="s">
        <v>38</v>
      </c>
      <c r="D24" s="4">
        <v>40000</v>
      </c>
      <c r="E24" s="3">
        <v>2</v>
      </c>
      <c r="F24" s="3" t="s">
        <v>19</v>
      </c>
      <c r="G24" s="3" t="s">
        <v>20</v>
      </c>
      <c r="H24" s="3" t="s">
        <v>15</v>
      </c>
      <c r="I24" s="3">
        <v>0</v>
      </c>
      <c r="J24" s="3" t="s">
        <v>26</v>
      </c>
      <c r="K24" s="3" t="s">
        <v>17</v>
      </c>
      <c r="L24" s="3">
        <v>35</v>
      </c>
      <c r="M24" s="3" t="s">
        <v>53</v>
      </c>
      <c r="N24" s="3" t="s">
        <v>49</v>
      </c>
      <c r="O24" s="3" t="s">
        <v>15</v>
      </c>
    </row>
    <row r="25" spans="1:15" x14ac:dyDescent="0.25">
      <c r="A25" s="3">
        <v>26412</v>
      </c>
      <c r="B25" s="3" t="s">
        <v>36</v>
      </c>
      <c r="C25" s="3" t="s">
        <v>39</v>
      </c>
      <c r="D25" s="4">
        <v>80000</v>
      </c>
      <c r="E25" s="3">
        <v>5</v>
      </c>
      <c r="F25" s="3" t="s">
        <v>27</v>
      </c>
      <c r="G25" s="3" t="s">
        <v>28</v>
      </c>
      <c r="H25" s="3" t="s">
        <v>18</v>
      </c>
      <c r="I25" s="3">
        <v>3</v>
      </c>
      <c r="J25" s="3" t="s">
        <v>23</v>
      </c>
      <c r="K25" s="3" t="s">
        <v>17</v>
      </c>
      <c r="L25" s="3">
        <v>56</v>
      </c>
      <c r="M25" s="3" t="s">
        <v>54</v>
      </c>
      <c r="N25" s="3" t="s">
        <v>50</v>
      </c>
      <c r="O25" s="3" t="s">
        <v>18</v>
      </c>
    </row>
    <row r="26" spans="1:15" x14ac:dyDescent="0.25">
      <c r="A26" s="3">
        <v>27184</v>
      </c>
      <c r="B26" s="3" t="s">
        <v>37</v>
      </c>
      <c r="C26" s="3" t="s">
        <v>38</v>
      </c>
      <c r="D26" s="4">
        <v>40000</v>
      </c>
      <c r="E26" s="3">
        <v>2</v>
      </c>
      <c r="F26" s="3" t="s">
        <v>19</v>
      </c>
      <c r="G26" s="3" t="s">
        <v>20</v>
      </c>
      <c r="H26" s="3" t="s">
        <v>18</v>
      </c>
      <c r="I26" s="3">
        <v>1</v>
      </c>
      <c r="J26" s="3" t="s">
        <v>16</v>
      </c>
      <c r="K26" s="3" t="s">
        <v>17</v>
      </c>
      <c r="L26" s="3">
        <v>34</v>
      </c>
      <c r="M26" s="3" t="s">
        <v>53</v>
      </c>
      <c r="N26" s="3" t="s">
        <v>49</v>
      </c>
      <c r="O26" s="3" t="s">
        <v>18</v>
      </c>
    </row>
    <row r="27" spans="1:15" x14ac:dyDescent="0.25">
      <c r="A27" s="3">
        <v>12590</v>
      </c>
      <c r="B27" s="3" t="s">
        <v>37</v>
      </c>
      <c r="C27" s="3" t="s">
        <v>38</v>
      </c>
      <c r="D27" s="4">
        <v>30000</v>
      </c>
      <c r="E27" s="3">
        <v>1</v>
      </c>
      <c r="F27" s="3" t="s">
        <v>13</v>
      </c>
      <c r="G27" s="3" t="s">
        <v>20</v>
      </c>
      <c r="H27" s="3" t="s">
        <v>15</v>
      </c>
      <c r="I27" s="3">
        <v>0</v>
      </c>
      <c r="J27" s="3" t="s">
        <v>16</v>
      </c>
      <c r="K27" s="3" t="s">
        <v>17</v>
      </c>
      <c r="L27" s="3">
        <v>63</v>
      </c>
      <c r="M27" s="3" t="s">
        <v>54</v>
      </c>
      <c r="N27" s="3" t="s">
        <v>50</v>
      </c>
      <c r="O27" s="3" t="s">
        <v>18</v>
      </c>
    </row>
    <row r="28" spans="1:15" x14ac:dyDescent="0.25">
      <c r="A28" s="3">
        <v>17841</v>
      </c>
      <c r="B28" s="3" t="s">
        <v>37</v>
      </c>
      <c r="C28" s="3" t="s">
        <v>38</v>
      </c>
      <c r="D28" s="4">
        <v>30000</v>
      </c>
      <c r="E28" s="3">
        <v>0</v>
      </c>
      <c r="F28" s="3" t="s">
        <v>19</v>
      </c>
      <c r="G28" s="3" t="s">
        <v>20</v>
      </c>
      <c r="H28" s="3" t="s">
        <v>18</v>
      </c>
      <c r="I28" s="3">
        <v>1</v>
      </c>
      <c r="J28" s="3" t="s">
        <v>16</v>
      </c>
      <c r="K28" s="3" t="s">
        <v>17</v>
      </c>
      <c r="L28" s="3">
        <v>29</v>
      </c>
      <c r="M28" s="3" t="s">
        <v>53</v>
      </c>
      <c r="N28" s="3" t="s">
        <v>49</v>
      </c>
      <c r="O28" s="3" t="s">
        <v>15</v>
      </c>
    </row>
    <row r="29" spans="1:15" x14ac:dyDescent="0.25">
      <c r="A29" s="3">
        <v>18283</v>
      </c>
      <c r="B29" s="3" t="s">
        <v>37</v>
      </c>
      <c r="C29" s="3" t="s">
        <v>39</v>
      </c>
      <c r="D29" s="4">
        <v>100000</v>
      </c>
      <c r="E29" s="3">
        <v>0</v>
      </c>
      <c r="F29" s="3" t="s">
        <v>13</v>
      </c>
      <c r="G29" s="3" t="s">
        <v>21</v>
      </c>
      <c r="H29" s="3" t="s">
        <v>18</v>
      </c>
      <c r="I29" s="3">
        <v>1</v>
      </c>
      <c r="J29" s="3" t="s">
        <v>23</v>
      </c>
      <c r="K29" s="3" t="s">
        <v>24</v>
      </c>
      <c r="L29" s="3">
        <v>40</v>
      </c>
      <c r="M29" s="3" t="s">
        <v>53</v>
      </c>
      <c r="N29" s="3" t="s">
        <v>49</v>
      </c>
      <c r="O29" s="3" t="s">
        <v>18</v>
      </c>
    </row>
    <row r="30" spans="1:15" x14ac:dyDescent="0.25">
      <c r="A30" s="3">
        <v>18299</v>
      </c>
      <c r="B30" s="3" t="s">
        <v>36</v>
      </c>
      <c r="C30" s="3" t="s">
        <v>38</v>
      </c>
      <c r="D30" s="4">
        <v>70000</v>
      </c>
      <c r="E30" s="3">
        <v>5</v>
      </c>
      <c r="F30" s="3" t="s">
        <v>19</v>
      </c>
      <c r="G30" s="3" t="s">
        <v>14</v>
      </c>
      <c r="H30" s="3" t="s">
        <v>15</v>
      </c>
      <c r="I30" s="3">
        <v>2</v>
      </c>
      <c r="J30" s="3" t="s">
        <v>23</v>
      </c>
      <c r="K30" s="3" t="s">
        <v>24</v>
      </c>
      <c r="L30" s="3">
        <v>44</v>
      </c>
      <c r="M30" s="3" t="s">
        <v>53</v>
      </c>
      <c r="N30" s="3" t="s">
        <v>49</v>
      </c>
      <c r="O30" s="3" t="s">
        <v>18</v>
      </c>
    </row>
    <row r="31" spans="1:15" x14ac:dyDescent="0.25">
      <c r="A31" s="3">
        <v>16466</v>
      </c>
      <c r="B31" s="3" t="s">
        <v>37</v>
      </c>
      <c r="C31" s="3" t="s">
        <v>39</v>
      </c>
      <c r="D31" s="4">
        <v>20000</v>
      </c>
      <c r="E31" s="3">
        <v>0</v>
      </c>
      <c r="F31" s="3" t="s">
        <v>29</v>
      </c>
      <c r="G31" s="3" t="s">
        <v>25</v>
      </c>
      <c r="H31" s="3" t="s">
        <v>18</v>
      </c>
      <c r="I31" s="3">
        <v>2</v>
      </c>
      <c r="J31" s="3" t="s">
        <v>16</v>
      </c>
      <c r="K31" s="3" t="s">
        <v>17</v>
      </c>
      <c r="L31" s="3">
        <v>32</v>
      </c>
      <c r="M31" s="3" t="s">
        <v>53</v>
      </c>
      <c r="N31" s="3" t="s">
        <v>49</v>
      </c>
      <c r="O31" s="3" t="s">
        <v>15</v>
      </c>
    </row>
    <row r="32" spans="1:15" x14ac:dyDescent="0.25">
      <c r="A32" s="3">
        <v>19273</v>
      </c>
      <c r="B32" s="3" t="s">
        <v>36</v>
      </c>
      <c r="C32" s="3" t="s">
        <v>39</v>
      </c>
      <c r="D32" s="4">
        <v>20000</v>
      </c>
      <c r="E32" s="3">
        <v>2</v>
      </c>
      <c r="F32" s="3" t="s">
        <v>19</v>
      </c>
      <c r="G32" s="3" t="s">
        <v>25</v>
      </c>
      <c r="H32" s="3" t="s">
        <v>15</v>
      </c>
      <c r="I32" s="3">
        <v>0</v>
      </c>
      <c r="J32" s="3" t="s">
        <v>16</v>
      </c>
      <c r="K32" s="3" t="s">
        <v>17</v>
      </c>
      <c r="L32" s="3">
        <v>63</v>
      </c>
      <c r="M32" s="3" t="s">
        <v>54</v>
      </c>
      <c r="N32" s="3" t="s">
        <v>50</v>
      </c>
      <c r="O32" s="3" t="s">
        <v>18</v>
      </c>
    </row>
    <row r="33" spans="1:15" x14ac:dyDescent="0.25">
      <c r="A33" s="3">
        <v>22400</v>
      </c>
      <c r="B33" s="3" t="s">
        <v>36</v>
      </c>
      <c r="C33" s="3" t="s">
        <v>38</v>
      </c>
      <c r="D33" s="4">
        <v>10000</v>
      </c>
      <c r="E33" s="3">
        <v>0</v>
      </c>
      <c r="F33" s="3" t="s">
        <v>19</v>
      </c>
      <c r="G33" s="3" t="s">
        <v>25</v>
      </c>
      <c r="H33" s="3" t="s">
        <v>18</v>
      </c>
      <c r="I33" s="3">
        <v>1</v>
      </c>
      <c r="J33" s="3" t="s">
        <v>16</v>
      </c>
      <c r="K33" s="3" t="s">
        <v>24</v>
      </c>
      <c r="L33" s="3">
        <v>26</v>
      </c>
      <c r="M33" s="3" t="s">
        <v>53</v>
      </c>
      <c r="N33" s="3" t="s">
        <v>49</v>
      </c>
      <c r="O33" s="3" t="s">
        <v>15</v>
      </c>
    </row>
    <row r="34" spans="1:15" x14ac:dyDescent="0.25">
      <c r="A34" s="3">
        <v>20942</v>
      </c>
      <c r="B34" s="3" t="s">
        <v>37</v>
      </c>
      <c r="C34" s="3" t="s">
        <v>39</v>
      </c>
      <c r="D34" s="4">
        <v>20000</v>
      </c>
      <c r="E34" s="3">
        <v>0</v>
      </c>
      <c r="F34" s="3" t="s">
        <v>27</v>
      </c>
      <c r="G34" s="3" t="s">
        <v>25</v>
      </c>
      <c r="H34" s="3" t="s">
        <v>18</v>
      </c>
      <c r="I34" s="3">
        <v>1</v>
      </c>
      <c r="J34" s="3" t="s">
        <v>23</v>
      </c>
      <c r="K34" s="3" t="s">
        <v>17</v>
      </c>
      <c r="L34" s="3">
        <v>31</v>
      </c>
      <c r="M34" s="3" t="s">
        <v>53</v>
      </c>
      <c r="N34" s="3" t="s">
        <v>49</v>
      </c>
      <c r="O34" s="3" t="s">
        <v>18</v>
      </c>
    </row>
    <row r="35" spans="1:15" x14ac:dyDescent="0.25">
      <c r="A35" s="3">
        <v>18484</v>
      </c>
      <c r="B35" s="3" t="s">
        <v>37</v>
      </c>
      <c r="C35" s="3" t="s">
        <v>38</v>
      </c>
      <c r="D35" s="4">
        <v>80000</v>
      </c>
      <c r="E35" s="3">
        <v>2</v>
      </c>
      <c r="F35" s="3" t="s">
        <v>27</v>
      </c>
      <c r="G35" s="3" t="s">
        <v>14</v>
      </c>
      <c r="H35" s="3" t="s">
        <v>18</v>
      </c>
      <c r="I35" s="3">
        <v>2</v>
      </c>
      <c r="J35" s="3" t="s">
        <v>26</v>
      </c>
      <c r="K35" s="3" t="s">
        <v>24</v>
      </c>
      <c r="L35" s="3">
        <v>50</v>
      </c>
      <c r="M35" s="3" t="s">
        <v>51</v>
      </c>
      <c r="N35" s="3" t="s">
        <v>48</v>
      </c>
      <c r="O35" s="3" t="s">
        <v>15</v>
      </c>
    </row>
    <row r="36" spans="1:15" x14ac:dyDescent="0.25">
      <c r="A36" s="3">
        <v>12291</v>
      </c>
      <c r="B36" s="3" t="s">
        <v>37</v>
      </c>
      <c r="C36" s="3" t="s">
        <v>38</v>
      </c>
      <c r="D36" s="4">
        <v>90000</v>
      </c>
      <c r="E36" s="3">
        <v>5</v>
      </c>
      <c r="F36" s="3" t="s">
        <v>19</v>
      </c>
      <c r="G36" s="3" t="s">
        <v>21</v>
      </c>
      <c r="H36" s="3" t="s">
        <v>18</v>
      </c>
      <c r="I36" s="3">
        <v>2</v>
      </c>
      <c r="J36" s="3" t="s">
        <v>22</v>
      </c>
      <c r="K36" s="3" t="s">
        <v>17</v>
      </c>
      <c r="L36" s="3">
        <v>62</v>
      </c>
      <c r="M36" s="3" t="s">
        <v>54</v>
      </c>
      <c r="N36" s="3" t="s">
        <v>50</v>
      </c>
      <c r="O36" s="3" t="s">
        <v>15</v>
      </c>
    </row>
    <row r="37" spans="1:15" x14ac:dyDescent="0.25">
      <c r="A37" s="3">
        <v>28380</v>
      </c>
      <c r="B37" s="3" t="s">
        <v>37</v>
      </c>
      <c r="C37" s="3" t="s">
        <v>39</v>
      </c>
      <c r="D37" s="4">
        <v>10000</v>
      </c>
      <c r="E37" s="3">
        <v>5</v>
      </c>
      <c r="F37" s="3" t="s">
        <v>29</v>
      </c>
      <c r="G37" s="3" t="s">
        <v>25</v>
      </c>
      <c r="H37" s="3" t="s">
        <v>18</v>
      </c>
      <c r="I37" s="3">
        <v>2</v>
      </c>
      <c r="J37" s="3" t="s">
        <v>16</v>
      </c>
      <c r="K37" s="3" t="s">
        <v>17</v>
      </c>
      <c r="L37" s="3">
        <v>41</v>
      </c>
      <c r="M37" s="3" t="s">
        <v>53</v>
      </c>
      <c r="N37" s="3" t="s">
        <v>49</v>
      </c>
      <c r="O37" s="3" t="s">
        <v>18</v>
      </c>
    </row>
    <row r="38" spans="1:15" x14ac:dyDescent="0.25">
      <c r="A38" s="3">
        <v>17891</v>
      </c>
      <c r="B38" s="3" t="s">
        <v>36</v>
      </c>
      <c r="C38" s="3" t="s">
        <v>39</v>
      </c>
      <c r="D38" s="4">
        <v>10000</v>
      </c>
      <c r="E38" s="3">
        <v>2</v>
      </c>
      <c r="F38" s="3" t="s">
        <v>19</v>
      </c>
      <c r="G38" s="3" t="s">
        <v>25</v>
      </c>
      <c r="H38" s="3" t="s">
        <v>15</v>
      </c>
      <c r="I38" s="3">
        <v>1</v>
      </c>
      <c r="J38" s="3" t="s">
        <v>16</v>
      </c>
      <c r="K38" s="3" t="s">
        <v>17</v>
      </c>
      <c r="L38" s="3">
        <v>50</v>
      </c>
      <c r="M38" s="3" t="s">
        <v>51</v>
      </c>
      <c r="N38" s="3" t="s">
        <v>48</v>
      </c>
      <c r="O38" s="3" t="s">
        <v>15</v>
      </c>
    </row>
    <row r="39" spans="1:15" x14ac:dyDescent="0.25">
      <c r="A39" s="3">
        <v>27832</v>
      </c>
      <c r="B39" s="3" t="s">
        <v>37</v>
      </c>
      <c r="C39" s="3" t="s">
        <v>39</v>
      </c>
      <c r="D39" s="4">
        <v>30000</v>
      </c>
      <c r="E39" s="3">
        <v>0</v>
      </c>
      <c r="F39" s="3" t="s">
        <v>19</v>
      </c>
      <c r="G39" s="3" t="s">
        <v>20</v>
      </c>
      <c r="H39" s="3" t="s">
        <v>18</v>
      </c>
      <c r="I39" s="3">
        <v>1</v>
      </c>
      <c r="J39" s="3" t="s">
        <v>22</v>
      </c>
      <c r="K39" s="3" t="s">
        <v>17</v>
      </c>
      <c r="L39" s="3">
        <v>30</v>
      </c>
      <c r="M39" s="3" t="s">
        <v>53</v>
      </c>
      <c r="N39" s="3" t="s">
        <v>49</v>
      </c>
      <c r="O39" s="3" t="s">
        <v>18</v>
      </c>
    </row>
    <row r="40" spans="1:15" x14ac:dyDescent="0.25">
      <c r="A40" s="3">
        <v>26863</v>
      </c>
      <c r="B40" s="3" t="s">
        <v>37</v>
      </c>
      <c r="C40" s="3" t="s">
        <v>38</v>
      </c>
      <c r="D40" s="4">
        <v>20000</v>
      </c>
      <c r="E40" s="3">
        <v>0</v>
      </c>
      <c r="F40" s="3" t="s">
        <v>27</v>
      </c>
      <c r="G40" s="3" t="s">
        <v>25</v>
      </c>
      <c r="H40" s="3" t="s">
        <v>18</v>
      </c>
      <c r="I40" s="3">
        <v>1</v>
      </c>
      <c r="J40" s="3" t="s">
        <v>22</v>
      </c>
      <c r="K40" s="3" t="s">
        <v>17</v>
      </c>
      <c r="L40" s="3">
        <v>28</v>
      </c>
      <c r="M40" s="3" t="s">
        <v>53</v>
      </c>
      <c r="N40" s="3" t="s">
        <v>49</v>
      </c>
      <c r="O40" s="3" t="s">
        <v>18</v>
      </c>
    </row>
    <row r="41" spans="1:15" x14ac:dyDescent="0.25">
      <c r="A41" s="3">
        <v>16259</v>
      </c>
      <c r="B41" s="3" t="s">
        <v>37</v>
      </c>
      <c r="C41" s="3" t="s">
        <v>39</v>
      </c>
      <c r="D41" s="4">
        <v>10000</v>
      </c>
      <c r="E41" s="3">
        <v>4</v>
      </c>
      <c r="F41" s="3" t="s">
        <v>29</v>
      </c>
      <c r="G41" s="3" t="s">
        <v>25</v>
      </c>
      <c r="H41" s="3" t="s">
        <v>15</v>
      </c>
      <c r="I41" s="3">
        <v>2</v>
      </c>
      <c r="J41" s="3" t="s">
        <v>16</v>
      </c>
      <c r="K41" s="3" t="s">
        <v>17</v>
      </c>
      <c r="L41" s="3">
        <v>40</v>
      </c>
      <c r="M41" s="3" t="s">
        <v>53</v>
      </c>
      <c r="N41" s="3" t="s">
        <v>49</v>
      </c>
      <c r="O41" s="3" t="s">
        <v>15</v>
      </c>
    </row>
    <row r="42" spans="1:15" x14ac:dyDescent="0.25">
      <c r="A42" s="3">
        <v>27803</v>
      </c>
      <c r="B42" s="3" t="s">
        <v>37</v>
      </c>
      <c r="C42" s="3" t="s">
        <v>39</v>
      </c>
      <c r="D42" s="4">
        <v>30000</v>
      </c>
      <c r="E42" s="3">
        <v>2</v>
      </c>
      <c r="F42" s="3" t="s">
        <v>19</v>
      </c>
      <c r="G42" s="3" t="s">
        <v>20</v>
      </c>
      <c r="H42" s="3" t="s">
        <v>18</v>
      </c>
      <c r="I42" s="3">
        <v>0</v>
      </c>
      <c r="J42" s="3" t="s">
        <v>16</v>
      </c>
      <c r="K42" s="3" t="s">
        <v>17</v>
      </c>
      <c r="L42" s="3">
        <v>43</v>
      </c>
      <c r="M42" s="3" t="s">
        <v>53</v>
      </c>
      <c r="N42" s="3" t="s">
        <v>49</v>
      </c>
      <c r="O42" s="3" t="s">
        <v>18</v>
      </c>
    </row>
    <row r="43" spans="1:15" x14ac:dyDescent="0.25">
      <c r="A43" s="3">
        <v>14347</v>
      </c>
      <c r="B43" s="3" t="s">
        <v>37</v>
      </c>
      <c r="C43" s="3" t="s">
        <v>39</v>
      </c>
      <c r="D43" s="4">
        <v>40000</v>
      </c>
      <c r="E43" s="3">
        <v>2</v>
      </c>
      <c r="F43" s="3" t="s">
        <v>13</v>
      </c>
      <c r="G43" s="3" t="s">
        <v>28</v>
      </c>
      <c r="H43" s="3" t="s">
        <v>15</v>
      </c>
      <c r="I43" s="3">
        <v>2</v>
      </c>
      <c r="J43" s="3" t="s">
        <v>23</v>
      </c>
      <c r="K43" s="3" t="s">
        <v>24</v>
      </c>
      <c r="L43" s="3">
        <v>65</v>
      </c>
      <c r="M43" s="3" t="s">
        <v>54</v>
      </c>
      <c r="N43" s="3" t="s">
        <v>50</v>
      </c>
      <c r="O43" s="3" t="s">
        <v>15</v>
      </c>
    </row>
    <row r="44" spans="1:15" x14ac:dyDescent="0.25">
      <c r="A44" s="3">
        <v>17703</v>
      </c>
      <c r="B44" s="3" t="s">
        <v>36</v>
      </c>
      <c r="C44" s="3" t="s">
        <v>39</v>
      </c>
      <c r="D44" s="4">
        <v>10000</v>
      </c>
      <c r="E44" s="3">
        <v>1</v>
      </c>
      <c r="F44" s="3" t="s">
        <v>31</v>
      </c>
      <c r="G44" s="3" t="s">
        <v>25</v>
      </c>
      <c r="H44" s="3" t="s">
        <v>15</v>
      </c>
      <c r="I44" s="3">
        <v>0</v>
      </c>
      <c r="J44" s="3" t="s">
        <v>16</v>
      </c>
      <c r="K44" s="3" t="s">
        <v>17</v>
      </c>
      <c r="L44" s="3">
        <v>40</v>
      </c>
      <c r="M44" s="3" t="s">
        <v>53</v>
      </c>
      <c r="N44" s="3" t="s">
        <v>49</v>
      </c>
      <c r="O44" s="3" t="s">
        <v>18</v>
      </c>
    </row>
    <row r="45" spans="1:15" x14ac:dyDescent="0.25">
      <c r="A45" s="3">
        <v>17185</v>
      </c>
      <c r="B45" s="3" t="s">
        <v>36</v>
      </c>
      <c r="C45" s="3" t="s">
        <v>39</v>
      </c>
      <c r="D45" s="4">
        <v>170000</v>
      </c>
      <c r="E45" s="3">
        <v>4</v>
      </c>
      <c r="F45" s="3" t="s">
        <v>19</v>
      </c>
      <c r="G45" s="3" t="s">
        <v>21</v>
      </c>
      <c r="H45" s="3" t="s">
        <v>18</v>
      </c>
      <c r="I45" s="3">
        <v>3</v>
      </c>
      <c r="J45" s="3" t="s">
        <v>23</v>
      </c>
      <c r="K45" s="3" t="s">
        <v>17</v>
      </c>
      <c r="L45" s="3">
        <v>48</v>
      </c>
      <c r="M45" s="3" t="s">
        <v>51</v>
      </c>
      <c r="N45" s="3" t="s">
        <v>48</v>
      </c>
      <c r="O45" s="3" t="s">
        <v>15</v>
      </c>
    </row>
    <row r="46" spans="1:15" x14ac:dyDescent="0.25">
      <c r="A46" s="3">
        <v>29380</v>
      </c>
      <c r="B46" s="3" t="s">
        <v>36</v>
      </c>
      <c r="C46" s="3" t="s">
        <v>39</v>
      </c>
      <c r="D46" s="4">
        <v>20000</v>
      </c>
      <c r="E46" s="3">
        <v>3</v>
      </c>
      <c r="F46" s="3" t="s">
        <v>27</v>
      </c>
      <c r="G46" s="3" t="s">
        <v>25</v>
      </c>
      <c r="H46" s="3" t="s">
        <v>15</v>
      </c>
      <c r="I46" s="3">
        <v>0</v>
      </c>
      <c r="J46" s="3" t="s">
        <v>16</v>
      </c>
      <c r="K46" s="3" t="s">
        <v>17</v>
      </c>
      <c r="L46" s="3">
        <v>41</v>
      </c>
      <c r="M46" s="3" t="s">
        <v>53</v>
      </c>
      <c r="N46" s="3" t="s">
        <v>49</v>
      </c>
      <c r="O46" s="3" t="s">
        <v>15</v>
      </c>
    </row>
    <row r="47" spans="1:15" x14ac:dyDescent="0.25">
      <c r="A47" s="3">
        <v>23986</v>
      </c>
      <c r="B47" s="3" t="s">
        <v>36</v>
      </c>
      <c r="C47" s="3" t="s">
        <v>39</v>
      </c>
      <c r="D47" s="4">
        <v>20000</v>
      </c>
      <c r="E47" s="3">
        <v>1</v>
      </c>
      <c r="F47" s="3" t="s">
        <v>13</v>
      </c>
      <c r="G47" s="3" t="s">
        <v>20</v>
      </c>
      <c r="H47" s="3" t="s">
        <v>15</v>
      </c>
      <c r="I47" s="3">
        <v>0</v>
      </c>
      <c r="J47" s="3" t="s">
        <v>16</v>
      </c>
      <c r="K47" s="3" t="s">
        <v>17</v>
      </c>
      <c r="L47" s="3">
        <v>66</v>
      </c>
      <c r="M47" s="3" t="s">
        <v>54</v>
      </c>
      <c r="N47" s="3" t="s">
        <v>50</v>
      </c>
      <c r="O47" s="3" t="s">
        <v>15</v>
      </c>
    </row>
    <row r="48" spans="1:15" x14ac:dyDescent="0.25">
      <c r="A48" s="3">
        <v>24466</v>
      </c>
      <c r="B48" s="3" t="s">
        <v>36</v>
      </c>
      <c r="C48" s="3" t="s">
        <v>39</v>
      </c>
      <c r="D48" s="4">
        <v>60000</v>
      </c>
      <c r="E48" s="3">
        <v>1</v>
      </c>
      <c r="F48" s="3" t="s">
        <v>19</v>
      </c>
      <c r="G48" s="3" t="s">
        <v>14</v>
      </c>
      <c r="H48" s="3" t="s">
        <v>15</v>
      </c>
      <c r="I48" s="3">
        <v>1</v>
      </c>
      <c r="J48" s="3" t="s">
        <v>23</v>
      </c>
      <c r="K48" s="3" t="s">
        <v>24</v>
      </c>
      <c r="L48" s="3">
        <v>46</v>
      </c>
      <c r="M48" s="3" t="s">
        <v>51</v>
      </c>
      <c r="N48" s="3" t="s">
        <v>48</v>
      </c>
      <c r="O48" s="3" t="s">
        <v>15</v>
      </c>
    </row>
    <row r="49" spans="1:15" x14ac:dyDescent="0.25">
      <c r="A49" s="3">
        <v>29097</v>
      </c>
      <c r="B49" s="3" t="s">
        <v>37</v>
      </c>
      <c r="C49" s="3" t="s">
        <v>39</v>
      </c>
      <c r="D49" s="4">
        <v>40000</v>
      </c>
      <c r="E49" s="3">
        <v>2</v>
      </c>
      <c r="F49" s="3" t="s">
        <v>19</v>
      </c>
      <c r="G49" s="3" t="s">
        <v>14</v>
      </c>
      <c r="H49" s="3" t="s">
        <v>15</v>
      </c>
      <c r="I49" s="3">
        <v>2</v>
      </c>
      <c r="J49" s="3" t="s">
        <v>23</v>
      </c>
      <c r="K49" s="3" t="s">
        <v>24</v>
      </c>
      <c r="L49" s="3">
        <v>52</v>
      </c>
      <c r="M49" s="3" t="s">
        <v>51</v>
      </c>
      <c r="N49" s="3" t="s">
        <v>48</v>
      </c>
      <c r="O49" s="3" t="s">
        <v>15</v>
      </c>
    </row>
    <row r="50" spans="1:15" x14ac:dyDescent="0.25">
      <c r="A50" s="3">
        <v>19487</v>
      </c>
      <c r="B50" s="3" t="s">
        <v>36</v>
      </c>
      <c r="C50" s="3" t="s">
        <v>38</v>
      </c>
      <c r="D50" s="4">
        <v>30000</v>
      </c>
      <c r="E50" s="3">
        <v>2</v>
      </c>
      <c r="F50" s="3" t="s">
        <v>19</v>
      </c>
      <c r="G50" s="3" t="s">
        <v>20</v>
      </c>
      <c r="H50" s="3" t="s">
        <v>18</v>
      </c>
      <c r="I50" s="3">
        <v>2</v>
      </c>
      <c r="J50" s="3" t="s">
        <v>16</v>
      </c>
      <c r="K50" s="3" t="s">
        <v>17</v>
      </c>
      <c r="L50" s="3">
        <v>42</v>
      </c>
      <c r="M50" s="3" t="s">
        <v>53</v>
      </c>
      <c r="N50" s="3" t="s">
        <v>49</v>
      </c>
      <c r="O50" s="3" t="s">
        <v>18</v>
      </c>
    </row>
    <row r="51" spans="1:15" x14ac:dyDescent="0.25">
      <c r="A51" s="3">
        <v>14939</v>
      </c>
      <c r="B51" s="3" t="s">
        <v>37</v>
      </c>
      <c r="C51" s="3" t="s">
        <v>38</v>
      </c>
      <c r="D51" s="4">
        <v>40000</v>
      </c>
      <c r="E51" s="3">
        <v>0</v>
      </c>
      <c r="F51" s="3" t="s">
        <v>13</v>
      </c>
      <c r="G51" s="3" t="s">
        <v>20</v>
      </c>
      <c r="H51" s="3" t="s">
        <v>15</v>
      </c>
      <c r="I51" s="3">
        <v>0</v>
      </c>
      <c r="J51" s="3" t="s">
        <v>16</v>
      </c>
      <c r="K51" s="3" t="s">
        <v>17</v>
      </c>
      <c r="L51" s="3">
        <v>39</v>
      </c>
      <c r="M51" s="3" t="s">
        <v>53</v>
      </c>
      <c r="N51" s="3" t="s">
        <v>49</v>
      </c>
      <c r="O51" s="3" t="s">
        <v>15</v>
      </c>
    </row>
    <row r="52" spans="1:15" x14ac:dyDescent="0.25">
      <c r="A52" s="3">
        <v>13826</v>
      </c>
      <c r="B52" s="3" t="s">
        <v>37</v>
      </c>
      <c r="C52" s="3" t="s">
        <v>39</v>
      </c>
      <c r="D52" s="4">
        <v>30000</v>
      </c>
      <c r="E52" s="3">
        <v>0</v>
      </c>
      <c r="F52" s="3" t="s">
        <v>19</v>
      </c>
      <c r="G52" s="3" t="s">
        <v>20</v>
      </c>
      <c r="H52" s="3" t="s">
        <v>18</v>
      </c>
      <c r="I52" s="3">
        <v>1</v>
      </c>
      <c r="J52" s="3" t="s">
        <v>16</v>
      </c>
      <c r="K52" s="3" t="s">
        <v>17</v>
      </c>
      <c r="L52" s="3">
        <v>28</v>
      </c>
      <c r="M52" s="3" t="s">
        <v>53</v>
      </c>
      <c r="N52" s="3" t="s">
        <v>49</v>
      </c>
      <c r="O52" s="3" t="s">
        <v>18</v>
      </c>
    </row>
    <row r="53" spans="1:15" x14ac:dyDescent="0.25">
      <c r="A53" s="3">
        <v>20619</v>
      </c>
      <c r="B53" s="3" t="s">
        <v>37</v>
      </c>
      <c r="C53" s="3" t="s">
        <v>38</v>
      </c>
      <c r="D53" s="4">
        <v>80000</v>
      </c>
      <c r="E53" s="3">
        <v>0</v>
      </c>
      <c r="F53" s="3" t="s">
        <v>13</v>
      </c>
      <c r="G53" s="3" t="s">
        <v>21</v>
      </c>
      <c r="H53" s="3" t="s">
        <v>18</v>
      </c>
      <c r="I53" s="3">
        <v>4</v>
      </c>
      <c r="J53" s="3" t="s">
        <v>46</v>
      </c>
      <c r="K53" s="3" t="s">
        <v>24</v>
      </c>
      <c r="L53" s="3">
        <v>35</v>
      </c>
      <c r="M53" s="3" t="s">
        <v>53</v>
      </c>
      <c r="N53" s="3" t="s">
        <v>49</v>
      </c>
      <c r="O53" s="3" t="s">
        <v>18</v>
      </c>
    </row>
    <row r="54" spans="1:15" x14ac:dyDescent="0.25">
      <c r="A54" s="3">
        <v>12558</v>
      </c>
      <c r="B54" s="3" t="s">
        <v>36</v>
      </c>
      <c r="C54" s="3" t="s">
        <v>39</v>
      </c>
      <c r="D54" s="4">
        <v>20000</v>
      </c>
      <c r="E54" s="3">
        <v>1</v>
      </c>
      <c r="F54" s="3" t="s">
        <v>13</v>
      </c>
      <c r="G54" s="3" t="s">
        <v>20</v>
      </c>
      <c r="H54" s="3" t="s">
        <v>15</v>
      </c>
      <c r="I54" s="3">
        <v>0</v>
      </c>
      <c r="J54" s="3" t="s">
        <v>16</v>
      </c>
      <c r="K54" s="3" t="s">
        <v>17</v>
      </c>
      <c r="L54" s="3">
        <v>65</v>
      </c>
      <c r="M54" s="3" t="s">
        <v>54</v>
      </c>
      <c r="N54" s="3" t="s">
        <v>50</v>
      </c>
      <c r="O54" s="3" t="s">
        <v>18</v>
      </c>
    </row>
    <row r="55" spans="1:15" x14ac:dyDescent="0.25">
      <c r="A55" s="3">
        <v>24871</v>
      </c>
      <c r="B55" s="3" t="s">
        <v>37</v>
      </c>
      <c r="C55" s="3" t="s">
        <v>39</v>
      </c>
      <c r="D55" s="4">
        <v>90000</v>
      </c>
      <c r="E55" s="3">
        <v>4</v>
      </c>
      <c r="F55" s="3" t="s">
        <v>27</v>
      </c>
      <c r="G55" s="3" t="s">
        <v>28</v>
      </c>
      <c r="H55" s="3" t="s">
        <v>18</v>
      </c>
      <c r="I55" s="3">
        <v>3</v>
      </c>
      <c r="J55" s="3" t="s">
        <v>23</v>
      </c>
      <c r="K55" s="3" t="s">
        <v>17</v>
      </c>
      <c r="L55" s="3">
        <v>56</v>
      </c>
      <c r="M55" s="3" t="s">
        <v>54</v>
      </c>
      <c r="N55" s="3" t="s">
        <v>50</v>
      </c>
      <c r="O55" s="3" t="s">
        <v>18</v>
      </c>
    </row>
    <row r="56" spans="1:15" x14ac:dyDescent="0.25">
      <c r="A56" s="3">
        <v>17319</v>
      </c>
      <c r="B56" s="3" t="s">
        <v>37</v>
      </c>
      <c r="C56" s="3" t="s">
        <v>39</v>
      </c>
      <c r="D56" s="4">
        <v>70000</v>
      </c>
      <c r="E56" s="3">
        <v>0</v>
      </c>
      <c r="F56" s="3" t="s">
        <v>13</v>
      </c>
      <c r="G56" s="3" t="s">
        <v>21</v>
      </c>
      <c r="H56" s="3" t="s">
        <v>18</v>
      </c>
      <c r="I56" s="3">
        <v>1</v>
      </c>
      <c r="J56" s="3" t="s">
        <v>23</v>
      </c>
      <c r="K56" s="3" t="s">
        <v>24</v>
      </c>
      <c r="L56" s="3">
        <v>42</v>
      </c>
      <c r="M56" s="3" t="s">
        <v>53</v>
      </c>
      <c r="N56" s="3" t="s">
        <v>49</v>
      </c>
      <c r="O56" s="3" t="s">
        <v>18</v>
      </c>
    </row>
    <row r="57" spans="1:15" x14ac:dyDescent="0.25">
      <c r="A57" s="3">
        <v>28906</v>
      </c>
      <c r="B57" s="3" t="s">
        <v>36</v>
      </c>
      <c r="C57" s="3" t="s">
        <v>38</v>
      </c>
      <c r="D57" s="4">
        <v>80000</v>
      </c>
      <c r="E57" s="3">
        <v>4</v>
      </c>
      <c r="F57" s="3" t="s">
        <v>27</v>
      </c>
      <c r="G57" s="3" t="s">
        <v>21</v>
      </c>
      <c r="H57" s="3" t="s">
        <v>15</v>
      </c>
      <c r="I57" s="3">
        <v>2</v>
      </c>
      <c r="J57" s="3" t="s">
        <v>46</v>
      </c>
      <c r="K57" s="3" t="s">
        <v>17</v>
      </c>
      <c r="L57" s="3">
        <v>54</v>
      </c>
      <c r="M57" s="3" t="s">
        <v>51</v>
      </c>
      <c r="N57" s="3" t="s">
        <v>48</v>
      </c>
      <c r="O57" s="3" t="s">
        <v>18</v>
      </c>
    </row>
    <row r="58" spans="1:15" x14ac:dyDescent="0.25">
      <c r="A58" s="3">
        <v>12808</v>
      </c>
      <c r="B58" s="3" t="s">
        <v>36</v>
      </c>
      <c r="C58" s="3" t="s">
        <v>38</v>
      </c>
      <c r="D58" s="4">
        <v>40000</v>
      </c>
      <c r="E58" s="3">
        <v>0</v>
      </c>
      <c r="F58" s="3" t="s">
        <v>13</v>
      </c>
      <c r="G58" s="3" t="s">
        <v>20</v>
      </c>
      <c r="H58" s="3" t="s">
        <v>15</v>
      </c>
      <c r="I58" s="3">
        <v>0</v>
      </c>
      <c r="J58" s="3" t="s">
        <v>16</v>
      </c>
      <c r="K58" s="3" t="s">
        <v>17</v>
      </c>
      <c r="L58" s="3">
        <v>38</v>
      </c>
      <c r="M58" s="3" t="s">
        <v>53</v>
      </c>
      <c r="N58" s="3" t="s">
        <v>49</v>
      </c>
      <c r="O58" s="3" t="s">
        <v>15</v>
      </c>
    </row>
    <row r="59" spans="1:15" x14ac:dyDescent="0.25">
      <c r="A59" s="3">
        <v>20567</v>
      </c>
      <c r="B59" s="3" t="s">
        <v>36</v>
      </c>
      <c r="C59" s="3" t="s">
        <v>38</v>
      </c>
      <c r="D59" s="4">
        <v>130000</v>
      </c>
      <c r="E59" s="3">
        <v>4</v>
      </c>
      <c r="F59" s="3" t="s">
        <v>19</v>
      </c>
      <c r="G59" s="3" t="s">
        <v>21</v>
      </c>
      <c r="H59" s="3" t="s">
        <v>18</v>
      </c>
      <c r="I59" s="3">
        <v>4</v>
      </c>
      <c r="J59" s="3" t="s">
        <v>23</v>
      </c>
      <c r="K59" s="3" t="s">
        <v>17</v>
      </c>
      <c r="L59" s="3">
        <v>61</v>
      </c>
      <c r="M59" s="3" t="s">
        <v>54</v>
      </c>
      <c r="N59" s="3" t="s">
        <v>50</v>
      </c>
      <c r="O59" s="3" t="s">
        <v>15</v>
      </c>
    </row>
    <row r="60" spans="1:15" x14ac:dyDescent="0.25">
      <c r="A60" s="3">
        <v>25502</v>
      </c>
      <c r="B60" s="3" t="s">
        <v>36</v>
      </c>
      <c r="C60" s="3" t="s">
        <v>39</v>
      </c>
      <c r="D60" s="4">
        <v>40000</v>
      </c>
      <c r="E60" s="3">
        <v>1</v>
      </c>
      <c r="F60" s="3" t="s">
        <v>13</v>
      </c>
      <c r="G60" s="3" t="s">
        <v>14</v>
      </c>
      <c r="H60" s="3" t="s">
        <v>15</v>
      </c>
      <c r="I60" s="3">
        <v>0</v>
      </c>
      <c r="J60" s="3" t="s">
        <v>16</v>
      </c>
      <c r="K60" s="3" t="s">
        <v>17</v>
      </c>
      <c r="L60" s="3">
        <v>43</v>
      </c>
      <c r="M60" s="3" t="s">
        <v>53</v>
      </c>
      <c r="N60" s="3" t="s">
        <v>49</v>
      </c>
      <c r="O60" s="3" t="s">
        <v>15</v>
      </c>
    </row>
    <row r="61" spans="1:15" x14ac:dyDescent="0.25">
      <c r="A61" s="3">
        <v>15580</v>
      </c>
      <c r="B61" s="3" t="s">
        <v>36</v>
      </c>
      <c r="C61" s="3" t="s">
        <v>38</v>
      </c>
      <c r="D61" s="4">
        <v>60000</v>
      </c>
      <c r="E61" s="3">
        <v>2</v>
      </c>
      <c r="F61" s="3" t="s">
        <v>13</v>
      </c>
      <c r="G61" s="3" t="s">
        <v>21</v>
      </c>
      <c r="H61" s="3" t="s">
        <v>15</v>
      </c>
      <c r="I61" s="3">
        <v>1</v>
      </c>
      <c r="J61" s="3" t="s">
        <v>22</v>
      </c>
      <c r="K61" s="3" t="s">
        <v>24</v>
      </c>
      <c r="L61" s="3">
        <v>38</v>
      </c>
      <c r="M61" s="3" t="s">
        <v>53</v>
      </c>
      <c r="N61" s="3" t="s">
        <v>49</v>
      </c>
      <c r="O61" s="3" t="s">
        <v>15</v>
      </c>
    </row>
    <row r="62" spans="1:15" x14ac:dyDescent="0.25">
      <c r="A62" s="3">
        <v>24185</v>
      </c>
      <c r="B62" s="3" t="s">
        <v>37</v>
      </c>
      <c r="C62" s="3" t="s">
        <v>39</v>
      </c>
      <c r="D62" s="4">
        <v>10000</v>
      </c>
      <c r="E62" s="3">
        <v>1</v>
      </c>
      <c r="F62" s="3" t="s">
        <v>27</v>
      </c>
      <c r="G62" s="3" t="s">
        <v>25</v>
      </c>
      <c r="H62" s="3" t="s">
        <v>18</v>
      </c>
      <c r="I62" s="3">
        <v>1</v>
      </c>
      <c r="J62" s="3" t="s">
        <v>26</v>
      </c>
      <c r="K62" s="3" t="s">
        <v>17</v>
      </c>
      <c r="L62" s="3">
        <v>45</v>
      </c>
      <c r="M62" s="3" t="s">
        <v>51</v>
      </c>
      <c r="N62" s="3" t="s">
        <v>48</v>
      </c>
      <c r="O62" s="3" t="s">
        <v>18</v>
      </c>
    </row>
    <row r="63" spans="1:15" x14ac:dyDescent="0.25">
      <c r="A63" s="3">
        <v>19291</v>
      </c>
      <c r="B63" s="3" t="s">
        <v>37</v>
      </c>
      <c r="C63" s="3" t="s">
        <v>39</v>
      </c>
      <c r="D63" s="4">
        <v>10000</v>
      </c>
      <c r="E63" s="3">
        <v>2</v>
      </c>
      <c r="F63" s="3" t="s">
        <v>27</v>
      </c>
      <c r="G63" s="3" t="s">
        <v>25</v>
      </c>
      <c r="H63" s="3" t="s">
        <v>15</v>
      </c>
      <c r="I63" s="3">
        <v>0</v>
      </c>
      <c r="J63" s="3" t="s">
        <v>16</v>
      </c>
      <c r="K63" s="3" t="s">
        <v>17</v>
      </c>
      <c r="L63" s="3">
        <v>35</v>
      </c>
      <c r="M63" s="3" t="s">
        <v>53</v>
      </c>
      <c r="N63" s="3" t="s">
        <v>49</v>
      </c>
      <c r="O63" s="3" t="s">
        <v>18</v>
      </c>
    </row>
    <row r="64" spans="1:15" x14ac:dyDescent="0.25">
      <c r="A64" s="3">
        <v>16713</v>
      </c>
      <c r="B64" s="3" t="s">
        <v>36</v>
      </c>
      <c r="C64" s="3" t="s">
        <v>38</v>
      </c>
      <c r="D64" s="4">
        <v>40000</v>
      </c>
      <c r="E64" s="3">
        <v>2</v>
      </c>
      <c r="F64" s="3" t="s">
        <v>13</v>
      </c>
      <c r="G64" s="3" t="s">
        <v>28</v>
      </c>
      <c r="H64" s="3" t="s">
        <v>15</v>
      </c>
      <c r="I64" s="3">
        <v>1</v>
      </c>
      <c r="J64" s="3" t="s">
        <v>16</v>
      </c>
      <c r="K64" s="3" t="s">
        <v>24</v>
      </c>
      <c r="L64" s="3">
        <v>52</v>
      </c>
      <c r="M64" s="3" t="s">
        <v>51</v>
      </c>
      <c r="N64" s="3" t="s">
        <v>48</v>
      </c>
      <c r="O64" s="3" t="s">
        <v>15</v>
      </c>
    </row>
    <row r="65" spans="1:15" x14ac:dyDescent="0.25">
      <c r="A65" s="3">
        <v>16185</v>
      </c>
      <c r="B65" s="3" t="s">
        <v>37</v>
      </c>
      <c r="C65" s="3" t="s">
        <v>38</v>
      </c>
      <c r="D65" s="4">
        <v>60000</v>
      </c>
      <c r="E65" s="3">
        <v>4</v>
      </c>
      <c r="F65" s="3" t="s">
        <v>13</v>
      </c>
      <c r="G65" s="3" t="s">
        <v>21</v>
      </c>
      <c r="H65" s="3" t="s">
        <v>15</v>
      </c>
      <c r="I65" s="3">
        <v>3</v>
      </c>
      <c r="J65" s="3" t="s">
        <v>46</v>
      </c>
      <c r="K65" s="3" t="s">
        <v>24</v>
      </c>
      <c r="L65" s="3">
        <v>41</v>
      </c>
      <c r="M65" s="3" t="s">
        <v>53</v>
      </c>
      <c r="N65" s="3" t="s">
        <v>49</v>
      </c>
      <c r="O65" s="3" t="s">
        <v>18</v>
      </c>
    </row>
    <row r="66" spans="1:15" x14ac:dyDescent="0.25">
      <c r="A66" s="3">
        <v>14927</v>
      </c>
      <c r="B66" s="3" t="s">
        <v>36</v>
      </c>
      <c r="C66" s="3" t="s">
        <v>39</v>
      </c>
      <c r="D66" s="4">
        <v>30000</v>
      </c>
      <c r="E66" s="3">
        <v>1</v>
      </c>
      <c r="F66" s="3" t="s">
        <v>13</v>
      </c>
      <c r="G66" s="3" t="s">
        <v>20</v>
      </c>
      <c r="H66" s="3" t="s">
        <v>15</v>
      </c>
      <c r="I66" s="3">
        <v>0</v>
      </c>
      <c r="J66" s="3" t="s">
        <v>16</v>
      </c>
      <c r="K66" s="3" t="s">
        <v>17</v>
      </c>
      <c r="L66" s="3">
        <v>37</v>
      </c>
      <c r="M66" s="3" t="s">
        <v>53</v>
      </c>
      <c r="N66" s="3" t="s">
        <v>49</v>
      </c>
      <c r="O66" s="3" t="s">
        <v>15</v>
      </c>
    </row>
    <row r="67" spans="1:15" x14ac:dyDescent="0.25">
      <c r="A67" s="3">
        <v>29337</v>
      </c>
      <c r="B67" s="3" t="s">
        <v>37</v>
      </c>
      <c r="C67" s="3" t="s">
        <v>38</v>
      </c>
      <c r="D67" s="4">
        <v>30000</v>
      </c>
      <c r="E67" s="3">
        <v>2</v>
      </c>
      <c r="F67" s="3" t="s">
        <v>19</v>
      </c>
      <c r="G67" s="3" t="s">
        <v>20</v>
      </c>
      <c r="H67" s="3" t="s">
        <v>15</v>
      </c>
      <c r="I67" s="3">
        <v>2</v>
      </c>
      <c r="J67" s="3" t="s">
        <v>23</v>
      </c>
      <c r="K67" s="3" t="s">
        <v>24</v>
      </c>
      <c r="L67" s="3">
        <v>68</v>
      </c>
      <c r="M67" s="3" t="s">
        <v>54</v>
      </c>
      <c r="N67" s="3" t="s">
        <v>50</v>
      </c>
      <c r="O67" s="3" t="s">
        <v>18</v>
      </c>
    </row>
    <row r="68" spans="1:15" x14ac:dyDescent="0.25">
      <c r="A68" s="3">
        <v>29355</v>
      </c>
      <c r="B68" s="3" t="s">
        <v>36</v>
      </c>
      <c r="C68" s="3" t="s">
        <v>39</v>
      </c>
      <c r="D68" s="4">
        <v>40000</v>
      </c>
      <c r="E68" s="3">
        <v>0</v>
      </c>
      <c r="F68" s="3" t="s">
        <v>31</v>
      </c>
      <c r="G68" s="3" t="s">
        <v>20</v>
      </c>
      <c r="H68" s="3" t="s">
        <v>15</v>
      </c>
      <c r="I68" s="3">
        <v>0</v>
      </c>
      <c r="J68" s="3" t="s">
        <v>16</v>
      </c>
      <c r="K68" s="3" t="s">
        <v>17</v>
      </c>
      <c r="L68" s="3">
        <v>37</v>
      </c>
      <c r="M68" s="3" t="s">
        <v>53</v>
      </c>
      <c r="N68" s="3" t="s">
        <v>49</v>
      </c>
      <c r="O68" s="3" t="s">
        <v>15</v>
      </c>
    </row>
    <row r="69" spans="1:15" x14ac:dyDescent="0.25">
      <c r="A69" s="3">
        <v>25303</v>
      </c>
      <c r="B69" s="3" t="s">
        <v>37</v>
      </c>
      <c r="C69" s="3" t="s">
        <v>38</v>
      </c>
      <c r="D69" s="4">
        <v>30000</v>
      </c>
      <c r="E69" s="3">
        <v>0</v>
      </c>
      <c r="F69" s="3" t="s">
        <v>27</v>
      </c>
      <c r="G69" s="3" t="s">
        <v>25</v>
      </c>
      <c r="H69" s="3" t="s">
        <v>15</v>
      </c>
      <c r="I69" s="3">
        <v>1</v>
      </c>
      <c r="J69" s="3" t="s">
        <v>22</v>
      </c>
      <c r="K69" s="3" t="s">
        <v>17</v>
      </c>
      <c r="L69" s="3">
        <v>33</v>
      </c>
      <c r="M69" s="3" t="s">
        <v>53</v>
      </c>
      <c r="N69" s="3" t="s">
        <v>49</v>
      </c>
      <c r="O69" s="3" t="s">
        <v>15</v>
      </c>
    </row>
    <row r="70" spans="1:15" x14ac:dyDescent="0.25">
      <c r="A70" s="3">
        <v>14813</v>
      </c>
      <c r="B70" s="3" t="s">
        <v>37</v>
      </c>
      <c r="C70" s="3" t="s">
        <v>39</v>
      </c>
      <c r="D70" s="4">
        <v>20000</v>
      </c>
      <c r="E70" s="3">
        <v>4</v>
      </c>
      <c r="F70" s="3" t="s">
        <v>27</v>
      </c>
      <c r="G70" s="3" t="s">
        <v>25</v>
      </c>
      <c r="H70" s="3" t="s">
        <v>15</v>
      </c>
      <c r="I70" s="3">
        <v>1</v>
      </c>
      <c r="J70" s="3" t="s">
        <v>16</v>
      </c>
      <c r="K70" s="3" t="s">
        <v>17</v>
      </c>
      <c r="L70" s="3">
        <v>43</v>
      </c>
      <c r="M70" s="3" t="s">
        <v>53</v>
      </c>
      <c r="N70" s="3" t="s">
        <v>49</v>
      </c>
      <c r="O70" s="3" t="s">
        <v>15</v>
      </c>
    </row>
    <row r="71" spans="1:15" x14ac:dyDescent="0.25">
      <c r="A71" s="3">
        <v>16438</v>
      </c>
      <c r="B71" s="3" t="s">
        <v>36</v>
      </c>
      <c r="C71" s="3" t="s">
        <v>39</v>
      </c>
      <c r="D71" s="4">
        <v>10000</v>
      </c>
      <c r="E71" s="3">
        <v>0</v>
      </c>
      <c r="F71" s="3" t="s">
        <v>29</v>
      </c>
      <c r="G71" s="3" t="s">
        <v>25</v>
      </c>
      <c r="H71" s="3" t="s">
        <v>18</v>
      </c>
      <c r="I71" s="3">
        <v>2</v>
      </c>
      <c r="J71" s="3" t="s">
        <v>16</v>
      </c>
      <c r="K71" s="3" t="s">
        <v>17</v>
      </c>
      <c r="L71" s="3">
        <v>30</v>
      </c>
      <c r="M71" s="3" t="s">
        <v>53</v>
      </c>
      <c r="N71" s="3" t="s">
        <v>49</v>
      </c>
      <c r="O71" s="3" t="s">
        <v>18</v>
      </c>
    </row>
    <row r="72" spans="1:15" x14ac:dyDescent="0.25">
      <c r="A72" s="3">
        <v>14238</v>
      </c>
      <c r="B72" s="3" t="s">
        <v>36</v>
      </c>
      <c r="C72" s="3" t="s">
        <v>38</v>
      </c>
      <c r="D72" s="4">
        <v>120000</v>
      </c>
      <c r="E72" s="3">
        <v>0</v>
      </c>
      <c r="F72" s="3" t="s">
        <v>29</v>
      </c>
      <c r="G72" s="3" t="s">
        <v>21</v>
      </c>
      <c r="H72" s="3" t="s">
        <v>15</v>
      </c>
      <c r="I72" s="3">
        <v>4</v>
      </c>
      <c r="J72" s="3" t="s">
        <v>46</v>
      </c>
      <c r="K72" s="3" t="s">
        <v>24</v>
      </c>
      <c r="L72" s="3">
        <v>36</v>
      </c>
      <c r="M72" s="3" t="s">
        <v>53</v>
      </c>
      <c r="N72" s="3" t="s">
        <v>49</v>
      </c>
      <c r="O72" s="3" t="s">
        <v>15</v>
      </c>
    </row>
    <row r="73" spans="1:15" x14ac:dyDescent="0.25">
      <c r="A73" s="3">
        <v>16200</v>
      </c>
      <c r="B73" s="3" t="s">
        <v>37</v>
      </c>
      <c r="C73" s="3" t="s">
        <v>39</v>
      </c>
      <c r="D73" s="4">
        <v>10000</v>
      </c>
      <c r="E73" s="3">
        <v>0</v>
      </c>
      <c r="F73" s="3" t="s">
        <v>29</v>
      </c>
      <c r="G73" s="3" t="s">
        <v>25</v>
      </c>
      <c r="H73" s="3" t="s">
        <v>18</v>
      </c>
      <c r="I73" s="3">
        <v>2</v>
      </c>
      <c r="J73" s="3" t="s">
        <v>16</v>
      </c>
      <c r="K73" s="3" t="s">
        <v>17</v>
      </c>
      <c r="L73" s="3">
        <v>35</v>
      </c>
      <c r="M73" s="3" t="s">
        <v>53</v>
      </c>
      <c r="N73" s="3" t="s">
        <v>49</v>
      </c>
      <c r="O73" s="3" t="s">
        <v>18</v>
      </c>
    </row>
    <row r="74" spans="1:15" x14ac:dyDescent="0.25">
      <c r="A74" s="3">
        <v>24857</v>
      </c>
      <c r="B74" s="3" t="s">
        <v>36</v>
      </c>
      <c r="C74" s="3" t="s">
        <v>39</v>
      </c>
      <c r="D74" s="4">
        <v>130000</v>
      </c>
      <c r="E74" s="3">
        <v>3</v>
      </c>
      <c r="F74" s="3" t="s">
        <v>27</v>
      </c>
      <c r="G74" s="3" t="s">
        <v>21</v>
      </c>
      <c r="H74" s="3" t="s">
        <v>15</v>
      </c>
      <c r="I74" s="3">
        <v>4</v>
      </c>
      <c r="J74" s="3" t="s">
        <v>16</v>
      </c>
      <c r="K74" s="3" t="s">
        <v>17</v>
      </c>
      <c r="L74" s="3">
        <v>52</v>
      </c>
      <c r="M74" s="3" t="s">
        <v>51</v>
      </c>
      <c r="N74" s="3" t="s">
        <v>48</v>
      </c>
      <c r="O74" s="3" t="s">
        <v>18</v>
      </c>
    </row>
    <row r="75" spans="1:15" x14ac:dyDescent="0.25">
      <c r="A75" s="3">
        <v>26956</v>
      </c>
      <c r="B75" s="3" t="s">
        <v>37</v>
      </c>
      <c r="C75" s="3" t="s">
        <v>39</v>
      </c>
      <c r="D75" s="4">
        <v>20000</v>
      </c>
      <c r="E75" s="3">
        <v>0</v>
      </c>
      <c r="F75" s="3" t="s">
        <v>19</v>
      </c>
      <c r="G75" s="3" t="s">
        <v>25</v>
      </c>
      <c r="H75" s="3" t="s">
        <v>18</v>
      </c>
      <c r="I75" s="3">
        <v>1</v>
      </c>
      <c r="J75" s="3" t="s">
        <v>22</v>
      </c>
      <c r="K75" s="3" t="s">
        <v>17</v>
      </c>
      <c r="L75" s="3">
        <v>36</v>
      </c>
      <c r="M75" s="3" t="s">
        <v>53</v>
      </c>
      <c r="N75" s="3" t="s">
        <v>49</v>
      </c>
      <c r="O75" s="3" t="s">
        <v>15</v>
      </c>
    </row>
    <row r="76" spans="1:15" x14ac:dyDescent="0.25">
      <c r="A76" s="3">
        <v>14517</v>
      </c>
      <c r="B76" s="3" t="s">
        <v>36</v>
      </c>
      <c r="C76" s="3" t="s">
        <v>39</v>
      </c>
      <c r="D76" s="4">
        <v>20000</v>
      </c>
      <c r="E76" s="3">
        <v>3</v>
      </c>
      <c r="F76" s="3" t="s">
        <v>27</v>
      </c>
      <c r="G76" s="3" t="s">
        <v>14</v>
      </c>
      <c r="H76" s="3" t="s">
        <v>18</v>
      </c>
      <c r="I76" s="3">
        <v>2</v>
      </c>
      <c r="J76" s="3" t="s">
        <v>26</v>
      </c>
      <c r="K76" s="3" t="s">
        <v>24</v>
      </c>
      <c r="L76" s="3">
        <v>62</v>
      </c>
      <c r="M76" s="3" t="s">
        <v>54</v>
      </c>
      <c r="N76" s="3" t="s">
        <v>50</v>
      </c>
      <c r="O76" s="3" t="s">
        <v>18</v>
      </c>
    </row>
    <row r="77" spans="1:15" x14ac:dyDescent="0.25">
      <c r="A77" s="3">
        <v>12678</v>
      </c>
      <c r="B77" s="3" t="s">
        <v>37</v>
      </c>
      <c r="C77" s="3" t="s">
        <v>39</v>
      </c>
      <c r="D77" s="4">
        <v>130000</v>
      </c>
      <c r="E77" s="3">
        <v>4</v>
      </c>
      <c r="F77" s="3" t="s">
        <v>27</v>
      </c>
      <c r="G77" s="3" t="s">
        <v>28</v>
      </c>
      <c r="H77" s="3" t="s">
        <v>15</v>
      </c>
      <c r="I77" s="3">
        <v>4</v>
      </c>
      <c r="J77" s="3" t="s">
        <v>16</v>
      </c>
      <c r="K77" s="3" t="s">
        <v>24</v>
      </c>
      <c r="L77" s="3">
        <v>31</v>
      </c>
      <c r="M77" s="3" t="s">
        <v>53</v>
      </c>
      <c r="N77" s="3" t="s">
        <v>49</v>
      </c>
      <c r="O77" s="3" t="s">
        <v>18</v>
      </c>
    </row>
    <row r="78" spans="1:15" x14ac:dyDescent="0.25">
      <c r="A78" s="3">
        <v>16188</v>
      </c>
      <c r="B78" s="3" t="s">
        <v>37</v>
      </c>
      <c r="C78" s="3" t="s">
        <v>39</v>
      </c>
      <c r="D78" s="4">
        <v>20000</v>
      </c>
      <c r="E78" s="3">
        <v>0</v>
      </c>
      <c r="F78" s="3" t="s">
        <v>29</v>
      </c>
      <c r="G78" s="3" t="s">
        <v>25</v>
      </c>
      <c r="H78" s="3" t="s">
        <v>18</v>
      </c>
      <c r="I78" s="3">
        <v>2</v>
      </c>
      <c r="J78" s="3" t="s">
        <v>26</v>
      </c>
      <c r="K78" s="3" t="s">
        <v>17</v>
      </c>
      <c r="L78" s="3">
        <v>26</v>
      </c>
      <c r="M78" s="3" t="s">
        <v>53</v>
      </c>
      <c r="N78" s="3" t="s">
        <v>49</v>
      </c>
      <c r="O78" s="3" t="s">
        <v>18</v>
      </c>
    </row>
    <row r="79" spans="1:15" x14ac:dyDescent="0.25">
      <c r="A79" s="3">
        <v>27969</v>
      </c>
      <c r="B79" s="3" t="s">
        <v>36</v>
      </c>
      <c r="C79" s="3" t="s">
        <v>38</v>
      </c>
      <c r="D79" s="4">
        <v>80000</v>
      </c>
      <c r="E79" s="3">
        <v>0</v>
      </c>
      <c r="F79" s="3" t="s">
        <v>13</v>
      </c>
      <c r="G79" s="3" t="s">
        <v>21</v>
      </c>
      <c r="H79" s="3" t="s">
        <v>15</v>
      </c>
      <c r="I79" s="3">
        <v>2</v>
      </c>
      <c r="J79" s="3" t="s">
        <v>46</v>
      </c>
      <c r="K79" s="3" t="s">
        <v>24</v>
      </c>
      <c r="L79" s="3">
        <v>29</v>
      </c>
      <c r="M79" s="3" t="s">
        <v>53</v>
      </c>
      <c r="N79" s="3" t="s">
        <v>49</v>
      </c>
      <c r="O79" s="3" t="s">
        <v>15</v>
      </c>
    </row>
    <row r="80" spans="1:15" x14ac:dyDescent="0.25">
      <c r="A80" s="3">
        <v>15752</v>
      </c>
      <c r="B80" s="3" t="s">
        <v>36</v>
      </c>
      <c r="C80" s="3" t="s">
        <v>38</v>
      </c>
      <c r="D80" s="4">
        <v>80000</v>
      </c>
      <c r="E80" s="3">
        <v>2</v>
      </c>
      <c r="F80" s="3" t="s">
        <v>27</v>
      </c>
      <c r="G80" s="3" t="s">
        <v>14</v>
      </c>
      <c r="H80" s="3" t="s">
        <v>18</v>
      </c>
      <c r="I80" s="3">
        <v>2</v>
      </c>
      <c r="J80" s="3" t="s">
        <v>26</v>
      </c>
      <c r="K80" s="3" t="s">
        <v>24</v>
      </c>
      <c r="L80" s="3">
        <v>50</v>
      </c>
      <c r="M80" s="3" t="s">
        <v>51</v>
      </c>
      <c r="N80" s="3" t="s">
        <v>48</v>
      </c>
      <c r="O80" s="3" t="s">
        <v>15</v>
      </c>
    </row>
    <row r="81" spans="1:15" x14ac:dyDescent="0.25">
      <c r="A81" s="3">
        <v>27745</v>
      </c>
      <c r="B81" s="3" t="s">
        <v>37</v>
      </c>
      <c r="C81" s="3" t="s">
        <v>38</v>
      </c>
      <c r="D81" s="4">
        <v>40000</v>
      </c>
      <c r="E81" s="3">
        <v>2</v>
      </c>
      <c r="F81" s="3" t="s">
        <v>13</v>
      </c>
      <c r="G81" s="3" t="s">
        <v>28</v>
      </c>
      <c r="H81" s="3" t="s">
        <v>15</v>
      </c>
      <c r="I81" s="3">
        <v>2</v>
      </c>
      <c r="J81" s="3" t="s">
        <v>23</v>
      </c>
      <c r="K81" s="3" t="s">
        <v>24</v>
      </c>
      <c r="L81" s="3">
        <v>63</v>
      </c>
      <c r="M81" s="3" t="s">
        <v>54</v>
      </c>
      <c r="N81" s="3" t="s">
        <v>50</v>
      </c>
      <c r="O81" s="3" t="s">
        <v>15</v>
      </c>
    </row>
    <row r="82" spans="1:15" x14ac:dyDescent="0.25">
      <c r="A82" s="3">
        <v>20828</v>
      </c>
      <c r="B82" s="3" t="s">
        <v>36</v>
      </c>
      <c r="C82" s="3" t="s">
        <v>39</v>
      </c>
      <c r="D82" s="4">
        <v>30000</v>
      </c>
      <c r="E82" s="3">
        <v>4</v>
      </c>
      <c r="F82" s="3" t="s">
        <v>31</v>
      </c>
      <c r="G82" s="3" t="s">
        <v>20</v>
      </c>
      <c r="H82" s="3" t="s">
        <v>15</v>
      </c>
      <c r="I82" s="3">
        <v>0</v>
      </c>
      <c r="J82" s="3" t="s">
        <v>16</v>
      </c>
      <c r="K82" s="3" t="s">
        <v>17</v>
      </c>
      <c r="L82" s="3">
        <v>45</v>
      </c>
      <c r="M82" s="3" t="s">
        <v>51</v>
      </c>
      <c r="N82" s="3" t="s">
        <v>48</v>
      </c>
      <c r="O82" s="3" t="s">
        <v>15</v>
      </c>
    </row>
    <row r="83" spans="1:15" x14ac:dyDescent="0.25">
      <c r="A83" s="3">
        <v>19461</v>
      </c>
      <c r="B83" s="3" t="s">
        <v>37</v>
      </c>
      <c r="C83" s="3" t="s">
        <v>39</v>
      </c>
      <c r="D83" s="4">
        <v>10000</v>
      </c>
      <c r="E83" s="3">
        <v>4</v>
      </c>
      <c r="F83" s="3" t="s">
        <v>29</v>
      </c>
      <c r="G83" s="3" t="s">
        <v>25</v>
      </c>
      <c r="H83" s="3" t="s">
        <v>15</v>
      </c>
      <c r="I83" s="3">
        <v>2</v>
      </c>
      <c r="J83" s="3" t="s">
        <v>16</v>
      </c>
      <c r="K83" s="3" t="s">
        <v>17</v>
      </c>
      <c r="L83" s="3">
        <v>40</v>
      </c>
      <c r="M83" s="3" t="s">
        <v>53</v>
      </c>
      <c r="N83" s="3" t="s">
        <v>49</v>
      </c>
      <c r="O83" s="3" t="s">
        <v>18</v>
      </c>
    </row>
    <row r="84" spans="1:15" x14ac:dyDescent="0.25">
      <c r="A84" s="3">
        <v>26941</v>
      </c>
      <c r="B84" s="3" t="s">
        <v>36</v>
      </c>
      <c r="C84" s="3" t="s">
        <v>38</v>
      </c>
      <c r="D84" s="4">
        <v>30000</v>
      </c>
      <c r="E84" s="3">
        <v>0</v>
      </c>
      <c r="F84" s="3" t="s">
        <v>13</v>
      </c>
      <c r="G84" s="3" t="s">
        <v>20</v>
      </c>
      <c r="H84" s="3" t="s">
        <v>15</v>
      </c>
      <c r="I84" s="3">
        <v>0</v>
      </c>
      <c r="J84" s="3" t="s">
        <v>16</v>
      </c>
      <c r="K84" s="3" t="s">
        <v>17</v>
      </c>
      <c r="L84" s="3">
        <v>47</v>
      </c>
      <c r="M84" s="3" t="s">
        <v>51</v>
      </c>
      <c r="N84" s="3" t="s">
        <v>48</v>
      </c>
      <c r="O84" s="3" t="s">
        <v>15</v>
      </c>
    </row>
    <row r="85" spans="1:15" x14ac:dyDescent="0.25">
      <c r="A85" s="3">
        <v>28412</v>
      </c>
      <c r="B85" s="3" t="s">
        <v>37</v>
      </c>
      <c r="C85" s="3" t="s">
        <v>38</v>
      </c>
      <c r="D85" s="4">
        <v>20000</v>
      </c>
      <c r="E85" s="3">
        <v>0</v>
      </c>
      <c r="F85" s="3" t="s">
        <v>27</v>
      </c>
      <c r="G85" s="3" t="s">
        <v>25</v>
      </c>
      <c r="H85" s="3" t="s">
        <v>18</v>
      </c>
      <c r="I85" s="3">
        <v>1</v>
      </c>
      <c r="J85" s="3" t="s">
        <v>22</v>
      </c>
      <c r="K85" s="3" t="s">
        <v>17</v>
      </c>
      <c r="L85" s="3">
        <v>29</v>
      </c>
      <c r="M85" s="3" t="s">
        <v>53</v>
      </c>
      <c r="N85" s="3" t="s">
        <v>49</v>
      </c>
      <c r="O85" s="3" t="s">
        <v>18</v>
      </c>
    </row>
    <row r="86" spans="1:15" x14ac:dyDescent="0.25">
      <c r="A86" s="3">
        <v>24485</v>
      </c>
      <c r="B86" s="3" t="s">
        <v>37</v>
      </c>
      <c r="C86" s="3" t="s">
        <v>38</v>
      </c>
      <c r="D86" s="4">
        <v>40000</v>
      </c>
      <c r="E86" s="3">
        <v>2</v>
      </c>
      <c r="F86" s="3" t="s">
        <v>13</v>
      </c>
      <c r="G86" s="3" t="s">
        <v>28</v>
      </c>
      <c r="H86" s="3" t="s">
        <v>18</v>
      </c>
      <c r="I86" s="3">
        <v>1</v>
      </c>
      <c r="J86" s="3" t="s">
        <v>23</v>
      </c>
      <c r="K86" s="3" t="s">
        <v>24</v>
      </c>
      <c r="L86" s="3">
        <v>52</v>
      </c>
      <c r="M86" s="3" t="s">
        <v>51</v>
      </c>
      <c r="N86" s="3" t="s">
        <v>48</v>
      </c>
      <c r="O86" s="3" t="s">
        <v>15</v>
      </c>
    </row>
    <row r="87" spans="1:15" x14ac:dyDescent="0.25">
      <c r="A87" s="3">
        <v>16514</v>
      </c>
      <c r="B87" s="3" t="s">
        <v>37</v>
      </c>
      <c r="C87" s="3" t="s">
        <v>38</v>
      </c>
      <c r="D87" s="4">
        <v>10000</v>
      </c>
      <c r="E87" s="3">
        <v>0</v>
      </c>
      <c r="F87" s="3" t="s">
        <v>19</v>
      </c>
      <c r="G87" s="3" t="s">
        <v>25</v>
      </c>
      <c r="H87" s="3" t="s">
        <v>15</v>
      </c>
      <c r="I87" s="3">
        <v>1</v>
      </c>
      <c r="J87" s="3" t="s">
        <v>26</v>
      </c>
      <c r="K87" s="3" t="s">
        <v>24</v>
      </c>
      <c r="L87" s="3">
        <v>26</v>
      </c>
      <c r="M87" s="3" t="s">
        <v>53</v>
      </c>
      <c r="N87" s="3" t="s">
        <v>49</v>
      </c>
      <c r="O87" s="3" t="s">
        <v>15</v>
      </c>
    </row>
    <row r="88" spans="1:15" x14ac:dyDescent="0.25">
      <c r="A88" s="3">
        <v>17191</v>
      </c>
      <c r="B88" s="3" t="s">
        <v>37</v>
      </c>
      <c r="C88" s="3" t="s">
        <v>38</v>
      </c>
      <c r="D88" s="4">
        <v>130000</v>
      </c>
      <c r="E88" s="3">
        <v>3</v>
      </c>
      <c r="F88" s="3" t="s">
        <v>19</v>
      </c>
      <c r="G88" s="3" t="s">
        <v>21</v>
      </c>
      <c r="H88" s="3" t="s">
        <v>18</v>
      </c>
      <c r="I88" s="3">
        <v>3</v>
      </c>
      <c r="J88" s="3" t="s">
        <v>16</v>
      </c>
      <c r="K88" s="3" t="s">
        <v>17</v>
      </c>
      <c r="L88" s="3">
        <v>51</v>
      </c>
      <c r="M88" s="3" t="s">
        <v>51</v>
      </c>
      <c r="N88" s="3" t="s">
        <v>48</v>
      </c>
      <c r="O88" s="3" t="s">
        <v>15</v>
      </c>
    </row>
    <row r="89" spans="1:15" x14ac:dyDescent="0.25">
      <c r="A89" s="3">
        <v>19608</v>
      </c>
      <c r="B89" s="3" t="s">
        <v>36</v>
      </c>
      <c r="C89" s="3" t="s">
        <v>38</v>
      </c>
      <c r="D89" s="4">
        <v>80000</v>
      </c>
      <c r="E89" s="3">
        <v>5</v>
      </c>
      <c r="F89" s="3" t="s">
        <v>13</v>
      </c>
      <c r="G89" s="3" t="s">
        <v>21</v>
      </c>
      <c r="H89" s="3" t="s">
        <v>15</v>
      </c>
      <c r="I89" s="3">
        <v>4</v>
      </c>
      <c r="J89" s="3" t="s">
        <v>26</v>
      </c>
      <c r="K89" s="3" t="s">
        <v>24</v>
      </c>
      <c r="L89" s="3">
        <v>40</v>
      </c>
      <c r="M89" s="3" t="s">
        <v>53</v>
      </c>
      <c r="N89" s="3" t="s">
        <v>49</v>
      </c>
      <c r="O89" s="3" t="s">
        <v>18</v>
      </c>
    </row>
    <row r="90" spans="1:15" x14ac:dyDescent="0.25">
      <c r="A90" s="3">
        <v>24119</v>
      </c>
      <c r="B90" s="3" t="s">
        <v>37</v>
      </c>
      <c r="C90" s="3" t="s">
        <v>38</v>
      </c>
      <c r="D90" s="4">
        <v>30000</v>
      </c>
      <c r="E90" s="3">
        <v>0</v>
      </c>
      <c r="F90" s="3" t="s">
        <v>19</v>
      </c>
      <c r="G90" s="3" t="s">
        <v>20</v>
      </c>
      <c r="H90" s="3" t="s">
        <v>18</v>
      </c>
      <c r="I90" s="3">
        <v>1</v>
      </c>
      <c r="J90" s="3" t="s">
        <v>22</v>
      </c>
      <c r="K90" s="3" t="s">
        <v>17</v>
      </c>
      <c r="L90" s="3">
        <v>29</v>
      </c>
      <c r="M90" s="3" t="s">
        <v>53</v>
      </c>
      <c r="N90" s="3" t="s">
        <v>49</v>
      </c>
      <c r="O90" s="3" t="s">
        <v>18</v>
      </c>
    </row>
    <row r="91" spans="1:15" x14ac:dyDescent="0.25">
      <c r="A91" s="3">
        <v>25458</v>
      </c>
      <c r="B91" s="3" t="s">
        <v>36</v>
      </c>
      <c r="C91" s="3" t="s">
        <v>38</v>
      </c>
      <c r="D91" s="4">
        <v>20000</v>
      </c>
      <c r="E91" s="3">
        <v>1</v>
      </c>
      <c r="F91" s="3" t="s">
        <v>27</v>
      </c>
      <c r="G91" s="3" t="s">
        <v>25</v>
      </c>
      <c r="H91" s="3" t="s">
        <v>18</v>
      </c>
      <c r="I91" s="3">
        <v>1</v>
      </c>
      <c r="J91" s="3" t="s">
        <v>26</v>
      </c>
      <c r="K91" s="3" t="s">
        <v>17</v>
      </c>
      <c r="L91" s="3">
        <v>40</v>
      </c>
      <c r="M91" s="3" t="s">
        <v>53</v>
      </c>
      <c r="N91" s="3" t="s">
        <v>49</v>
      </c>
      <c r="O91" s="3" t="s">
        <v>15</v>
      </c>
    </row>
    <row r="92" spans="1:15" x14ac:dyDescent="0.25">
      <c r="A92" s="3">
        <v>26886</v>
      </c>
      <c r="B92" s="3" t="s">
        <v>37</v>
      </c>
      <c r="C92" s="3" t="s">
        <v>39</v>
      </c>
      <c r="D92" s="4">
        <v>30000</v>
      </c>
      <c r="E92" s="3">
        <v>0</v>
      </c>
      <c r="F92" s="3" t="s">
        <v>19</v>
      </c>
      <c r="G92" s="3" t="s">
        <v>20</v>
      </c>
      <c r="H92" s="3" t="s">
        <v>18</v>
      </c>
      <c r="I92" s="3">
        <v>1</v>
      </c>
      <c r="J92" s="3" t="s">
        <v>16</v>
      </c>
      <c r="K92" s="3" t="s">
        <v>17</v>
      </c>
      <c r="L92" s="3">
        <v>29</v>
      </c>
      <c r="M92" s="3" t="s">
        <v>53</v>
      </c>
      <c r="N92" s="3" t="s">
        <v>49</v>
      </c>
      <c r="O92" s="3" t="s">
        <v>15</v>
      </c>
    </row>
    <row r="93" spans="1:15" x14ac:dyDescent="0.25">
      <c r="A93" s="3">
        <v>28436</v>
      </c>
      <c r="B93" s="3" t="s">
        <v>37</v>
      </c>
      <c r="C93" s="3" t="s">
        <v>38</v>
      </c>
      <c r="D93" s="4">
        <v>30000</v>
      </c>
      <c r="E93" s="3">
        <v>0</v>
      </c>
      <c r="F93" s="3" t="s">
        <v>19</v>
      </c>
      <c r="G93" s="3" t="s">
        <v>20</v>
      </c>
      <c r="H93" s="3" t="s">
        <v>18</v>
      </c>
      <c r="I93" s="3">
        <v>1</v>
      </c>
      <c r="J93" s="3" t="s">
        <v>16</v>
      </c>
      <c r="K93" s="3" t="s">
        <v>17</v>
      </c>
      <c r="L93" s="3">
        <v>30</v>
      </c>
      <c r="M93" s="3" t="s">
        <v>53</v>
      </c>
      <c r="N93" s="3" t="s">
        <v>49</v>
      </c>
      <c r="O93" s="3" t="s">
        <v>15</v>
      </c>
    </row>
    <row r="94" spans="1:15" x14ac:dyDescent="0.25">
      <c r="A94" s="3">
        <v>19562</v>
      </c>
      <c r="B94" s="3" t="s">
        <v>37</v>
      </c>
      <c r="C94" s="3" t="s">
        <v>39</v>
      </c>
      <c r="D94" s="4">
        <v>60000</v>
      </c>
      <c r="E94" s="3">
        <v>2</v>
      </c>
      <c r="F94" s="3" t="s">
        <v>13</v>
      </c>
      <c r="G94" s="3" t="s">
        <v>21</v>
      </c>
      <c r="H94" s="3" t="s">
        <v>15</v>
      </c>
      <c r="I94" s="3">
        <v>1</v>
      </c>
      <c r="J94" s="3" t="s">
        <v>22</v>
      </c>
      <c r="K94" s="3" t="s">
        <v>24</v>
      </c>
      <c r="L94" s="3">
        <v>37</v>
      </c>
      <c r="M94" s="3" t="s">
        <v>53</v>
      </c>
      <c r="N94" s="3" t="s">
        <v>49</v>
      </c>
      <c r="O94" s="3" t="s">
        <v>15</v>
      </c>
    </row>
    <row r="95" spans="1:15" x14ac:dyDescent="0.25">
      <c r="A95" s="3">
        <v>15608</v>
      </c>
      <c r="B95" s="3" t="s">
        <v>37</v>
      </c>
      <c r="C95" s="3" t="s">
        <v>39</v>
      </c>
      <c r="D95" s="4">
        <v>30000</v>
      </c>
      <c r="E95" s="3">
        <v>0</v>
      </c>
      <c r="F95" s="3" t="s">
        <v>19</v>
      </c>
      <c r="G95" s="3" t="s">
        <v>20</v>
      </c>
      <c r="H95" s="3" t="s">
        <v>18</v>
      </c>
      <c r="I95" s="3">
        <v>1</v>
      </c>
      <c r="J95" s="3" t="s">
        <v>22</v>
      </c>
      <c r="K95" s="3" t="s">
        <v>17</v>
      </c>
      <c r="L95" s="3">
        <v>33</v>
      </c>
      <c r="M95" s="3" t="s">
        <v>53</v>
      </c>
      <c r="N95" s="3" t="s">
        <v>49</v>
      </c>
      <c r="O95" s="3" t="s">
        <v>18</v>
      </c>
    </row>
    <row r="96" spans="1:15" x14ac:dyDescent="0.25">
      <c r="A96" s="3">
        <v>16487</v>
      </c>
      <c r="B96" s="3" t="s">
        <v>37</v>
      </c>
      <c r="C96" s="3" t="s">
        <v>39</v>
      </c>
      <c r="D96" s="4">
        <v>30000</v>
      </c>
      <c r="E96" s="3">
        <v>3</v>
      </c>
      <c r="F96" s="3" t="s">
        <v>27</v>
      </c>
      <c r="G96" s="3" t="s">
        <v>14</v>
      </c>
      <c r="H96" s="3" t="s">
        <v>15</v>
      </c>
      <c r="I96" s="3">
        <v>2</v>
      </c>
      <c r="J96" s="3" t="s">
        <v>23</v>
      </c>
      <c r="K96" s="3" t="s">
        <v>24</v>
      </c>
      <c r="L96" s="3">
        <v>55</v>
      </c>
      <c r="M96" s="3" t="s">
        <v>52</v>
      </c>
      <c r="N96" s="3" t="s">
        <v>47</v>
      </c>
      <c r="O96" s="3" t="s">
        <v>18</v>
      </c>
    </row>
    <row r="97" spans="1:15" x14ac:dyDescent="0.25">
      <c r="A97" s="3">
        <v>17197</v>
      </c>
      <c r="B97" s="3" t="s">
        <v>37</v>
      </c>
      <c r="C97" s="3" t="s">
        <v>39</v>
      </c>
      <c r="D97" s="4">
        <v>90000</v>
      </c>
      <c r="E97" s="3">
        <v>5</v>
      </c>
      <c r="F97" s="3" t="s">
        <v>19</v>
      </c>
      <c r="G97" s="3" t="s">
        <v>21</v>
      </c>
      <c r="H97" s="3" t="s">
        <v>15</v>
      </c>
      <c r="I97" s="3">
        <v>2</v>
      </c>
      <c r="J97" s="3" t="s">
        <v>46</v>
      </c>
      <c r="K97" s="3" t="s">
        <v>17</v>
      </c>
      <c r="L97" s="3">
        <v>62</v>
      </c>
      <c r="M97" s="3" t="s">
        <v>54</v>
      </c>
      <c r="N97" s="3" t="s">
        <v>50</v>
      </c>
      <c r="O97" s="3" t="s">
        <v>18</v>
      </c>
    </row>
    <row r="98" spans="1:15" x14ac:dyDescent="0.25">
      <c r="A98" s="3">
        <v>12507</v>
      </c>
      <c r="B98" s="3" t="s">
        <v>36</v>
      </c>
      <c r="C98" s="3" t="s">
        <v>38</v>
      </c>
      <c r="D98" s="4">
        <v>30000</v>
      </c>
      <c r="E98" s="3">
        <v>1</v>
      </c>
      <c r="F98" s="3" t="s">
        <v>19</v>
      </c>
      <c r="G98" s="3" t="s">
        <v>20</v>
      </c>
      <c r="H98" s="3" t="s">
        <v>15</v>
      </c>
      <c r="I98" s="3">
        <v>1</v>
      </c>
      <c r="J98" s="3" t="s">
        <v>16</v>
      </c>
      <c r="K98" s="3" t="s">
        <v>17</v>
      </c>
      <c r="L98" s="3">
        <v>43</v>
      </c>
      <c r="M98" s="3" t="s">
        <v>53</v>
      </c>
      <c r="N98" s="3" t="s">
        <v>49</v>
      </c>
      <c r="O98" s="3" t="s">
        <v>18</v>
      </c>
    </row>
    <row r="99" spans="1:15" x14ac:dyDescent="0.25">
      <c r="A99" s="3">
        <v>23940</v>
      </c>
      <c r="B99" s="3" t="s">
        <v>36</v>
      </c>
      <c r="C99" s="3" t="s">
        <v>38</v>
      </c>
      <c r="D99" s="4">
        <v>40000</v>
      </c>
      <c r="E99" s="3">
        <v>1</v>
      </c>
      <c r="F99" s="3" t="s">
        <v>13</v>
      </c>
      <c r="G99" s="3" t="s">
        <v>14</v>
      </c>
      <c r="H99" s="3" t="s">
        <v>15</v>
      </c>
      <c r="I99" s="3">
        <v>1</v>
      </c>
      <c r="J99" s="3" t="s">
        <v>16</v>
      </c>
      <c r="K99" s="3" t="s">
        <v>17</v>
      </c>
      <c r="L99" s="3">
        <v>44</v>
      </c>
      <c r="M99" s="3" t="s">
        <v>53</v>
      </c>
      <c r="N99" s="3" t="s">
        <v>49</v>
      </c>
      <c r="O99" s="3" t="s">
        <v>15</v>
      </c>
    </row>
    <row r="100" spans="1:15" x14ac:dyDescent="0.25">
      <c r="A100" s="3">
        <v>19441</v>
      </c>
      <c r="B100" s="3" t="s">
        <v>36</v>
      </c>
      <c r="C100" s="3" t="s">
        <v>38</v>
      </c>
      <c r="D100" s="4">
        <v>40000</v>
      </c>
      <c r="E100" s="3">
        <v>0</v>
      </c>
      <c r="F100" s="3" t="s">
        <v>31</v>
      </c>
      <c r="G100" s="3" t="s">
        <v>20</v>
      </c>
      <c r="H100" s="3" t="s">
        <v>15</v>
      </c>
      <c r="I100" s="3">
        <v>0</v>
      </c>
      <c r="J100" s="3" t="s">
        <v>16</v>
      </c>
      <c r="K100" s="3" t="s">
        <v>17</v>
      </c>
      <c r="L100" s="3">
        <v>25</v>
      </c>
      <c r="M100" s="3" t="s">
        <v>53</v>
      </c>
      <c r="N100" s="3" t="s">
        <v>49</v>
      </c>
      <c r="O100" s="3" t="s">
        <v>15</v>
      </c>
    </row>
    <row r="101" spans="1:15" x14ac:dyDescent="0.25">
      <c r="A101" s="3">
        <v>26852</v>
      </c>
      <c r="B101" s="3" t="s">
        <v>36</v>
      </c>
      <c r="C101" s="3" t="s">
        <v>39</v>
      </c>
      <c r="D101" s="4">
        <v>20000</v>
      </c>
      <c r="E101" s="3">
        <v>3</v>
      </c>
      <c r="F101" s="3" t="s">
        <v>27</v>
      </c>
      <c r="G101" s="3" t="s">
        <v>25</v>
      </c>
      <c r="H101" s="3" t="s">
        <v>15</v>
      </c>
      <c r="I101" s="3">
        <v>2</v>
      </c>
      <c r="J101" s="3" t="s">
        <v>16</v>
      </c>
      <c r="K101" s="3" t="s">
        <v>17</v>
      </c>
      <c r="L101" s="3">
        <v>43</v>
      </c>
      <c r="M101" s="3" t="s">
        <v>53</v>
      </c>
      <c r="N101" s="3" t="s">
        <v>49</v>
      </c>
      <c r="O101" s="3" t="s">
        <v>18</v>
      </c>
    </row>
    <row r="102" spans="1:15" x14ac:dyDescent="0.25">
      <c r="A102" s="3">
        <v>12274</v>
      </c>
      <c r="B102" s="3" t="s">
        <v>37</v>
      </c>
      <c r="C102" s="3" t="s">
        <v>38</v>
      </c>
      <c r="D102" s="4">
        <v>10000</v>
      </c>
      <c r="E102" s="3">
        <v>2</v>
      </c>
      <c r="F102" s="3" t="s">
        <v>27</v>
      </c>
      <c r="G102" s="3" t="s">
        <v>25</v>
      </c>
      <c r="H102" s="3" t="s">
        <v>15</v>
      </c>
      <c r="I102" s="3">
        <v>0</v>
      </c>
      <c r="J102" s="3" t="s">
        <v>16</v>
      </c>
      <c r="K102" s="3" t="s">
        <v>17</v>
      </c>
      <c r="L102" s="3">
        <v>35</v>
      </c>
      <c r="M102" s="3" t="s">
        <v>53</v>
      </c>
      <c r="N102" s="3" t="s">
        <v>49</v>
      </c>
      <c r="O102" s="3" t="s">
        <v>18</v>
      </c>
    </row>
    <row r="103" spans="1:15" x14ac:dyDescent="0.25">
      <c r="A103" s="3">
        <v>20236</v>
      </c>
      <c r="B103" s="3" t="s">
        <v>37</v>
      </c>
      <c r="C103" s="3" t="s">
        <v>38</v>
      </c>
      <c r="D103" s="4">
        <v>60000</v>
      </c>
      <c r="E103" s="3">
        <v>3</v>
      </c>
      <c r="F103" s="3" t="s">
        <v>13</v>
      </c>
      <c r="G103" s="3" t="s">
        <v>21</v>
      </c>
      <c r="H103" s="3" t="s">
        <v>18</v>
      </c>
      <c r="I103" s="3">
        <v>2</v>
      </c>
      <c r="J103" s="3" t="s">
        <v>16</v>
      </c>
      <c r="K103" s="3" t="s">
        <v>24</v>
      </c>
      <c r="L103" s="3">
        <v>43</v>
      </c>
      <c r="M103" s="3" t="s">
        <v>53</v>
      </c>
      <c r="N103" s="3" t="s">
        <v>49</v>
      </c>
      <c r="O103" s="3" t="s">
        <v>15</v>
      </c>
    </row>
    <row r="104" spans="1:15" x14ac:dyDescent="0.25">
      <c r="A104" s="3">
        <v>24149</v>
      </c>
      <c r="B104" s="3" t="s">
        <v>36</v>
      </c>
      <c r="C104" s="3" t="s">
        <v>38</v>
      </c>
      <c r="D104" s="4">
        <v>10000</v>
      </c>
      <c r="E104" s="3">
        <v>2</v>
      </c>
      <c r="F104" s="3" t="s">
        <v>19</v>
      </c>
      <c r="G104" s="3" t="s">
        <v>25</v>
      </c>
      <c r="H104" s="3" t="s">
        <v>15</v>
      </c>
      <c r="I104" s="3">
        <v>0</v>
      </c>
      <c r="J104" s="3" t="s">
        <v>26</v>
      </c>
      <c r="K104" s="3" t="s">
        <v>17</v>
      </c>
      <c r="L104" s="3">
        <v>49</v>
      </c>
      <c r="M104" s="3" t="s">
        <v>51</v>
      </c>
      <c r="N104" s="3" t="s">
        <v>48</v>
      </c>
      <c r="O104" s="3" t="s">
        <v>18</v>
      </c>
    </row>
    <row r="105" spans="1:15" x14ac:dyDescent="0.25">
      <c r="A105" s="3">
        <v>26139</v>
      </c>
      <c r="B105" s="3" t="s">
        <v>37</v>
      </c>
      <c r="C105" s="3" t="s">
        <v>38</v>
      </c>
      <c r="D105" s="4">
        <v>60000</v>
      </c>
      <c r="E105" s="3">
        <v>1</v>
      </c>
      <c r="F105" s="3" t="s">
        <v>19</v>
      </c>
      <c r="G105" s="3" t="s">
        <v>14</v>
      </c>
      <c r="H105" s="3" t="s">
        <v>15</v>
      </c>
      <c r="I105" s="3">
        <v>1</v>
      </c>
      <c r="J105" s="3" t="s">
        <v>23</v>
      </c>
      <c r="K105" s="3" t="s">
        <v>24</v>
      </c>
      <c r="L105" s="3">
        <v>45</v>
      </c>
      <c r="M105" s="3" t="s">
        <v>51</v>
      </c>
      <c r="N105" s="3" t="s">
        <v>48</v>
      </c>
      <c r="O105" s="3" t="s">
        <v>18</v>
      </c>
    </row>
    <row r="106" spans="1:15" x14ac:dyDescent="0.25">
      <c r="A106" s="3">
        <v>18491</v>
      </c>
      <c r="B106" s="3" t="s">
        <v>37</v>
      </c>
      <c r="C106" s="3" t="s">
        <v>39</v>
      </c>
      <c r="D106" s="4">
        <v>70000</v>
      </c>
      <c r="E106" s="3">
        <v>2</v>
      </c>
      <c r="F106" s="3" t="s">
        <v>27</v>
      </c>
      <c r="G106" s="3" t="s">
        <v>21</v>
      </c>
      <c r="H106" s="3" t="s">
        <v>15</v>
      </c>
      <c r="I106" s="3">
        <v>2</v>
      </c>
      <c r="J106" s="3" t="s">
        <v>23</v>
      </c>
      <c r="K106" s="3" t="s">
        <v>24</v>
      </c>
      <c r="L106" s="3">
        <v>49</v>
      </c>
      <c r="M106" s="3" t="s">
        <v>51</v>
      </c>
      <c r="N106" s="3" t="s">
        <v>48</v>
      </c>
      <c r="O106" s="3" t="s">
        <v>15</v>
      </c>
    </row>
    <row r="107" spans="1:15" x14ac:dyDescent="0.25">
      <c r="A107" s="3">
        <v>22707</v>
      </c>
      <c r="B107" s="3" t="s">
        <v>37</v>
      </c>
      <c r="C107" s="3" t="s">
        <v>39</v>
      </c>
      <c r="D107" s="4">
        <v>30000</v>
      </c>
      <c r="E107" s="3">
        <v>0</v>
      </c>
      <c r="F107" s="3" t="s">
        <v>19</v>
      </c>
      <c r="G107" s="3" t="s">
        <v>20</v>
      </c>
      <c r="H107" s="3" t="s">
        <v>18</v>
      </c>
      <c r="I107" s="3">
        <v>1</v>
      </c>
      <c r="J107" s="3" t="s">
        <v>22</v>
      </c>
      <c r="K107" s="3" t="s">
        <v>17</v>
      </c>
      <c r="L107" s="3">
        <v>30</v>
      </c>
      <c r="M107" s="3" t="s">
        <v>53</v>
      </c>
      <c r="N107" s="3" t="s">
        <v>49</v>
      </c>
      <c r="O107" s="3" t="s">
        <v>18</v>
      </c>
    </row>
    <row r="108" spans="1:15" x14ac:dyDescent="0.25">
      <c r="A108" s="3">
        <v>20430</v>
      </c>
      <c r="B108" s="3" t="s">
        <v>36</v>
      </c>
      <c r="C108" s="3" t="s">
        <v>38</v>
      </c>
      <c r="D108" s="4">
        <v>70000</v>
      </c>
      <c r="E108" s="3">
        <v>2</v>
      </c>
      <c r="F108" s="3" t="s">
        <v>19</v>
      </c>
      <c r="G108" s="3" t="s">
        <v>14</v>
      </c>
      <c r="H108" s="3" t="s">
        <v>15</v>
      </c>
      <c r="I108" s="3">
        <v>2</v>
      </c>
      <c r="J108" s="3" t="s">
        <v>23</v>
      </c>
      <c r="K108" s="3" t="s">
        <v>24</v>
      </c>
      <c r="L108" s="3">
        <v>52</v>
      </c>
      <c r="M108" s="3" t="s">
        <v>51</v>
      </c>
      <c r="N108" s="3" t="s">
        <v>48</v>
      </c>
      <c r="O108" s="3" t="s">
        <v>15</v>
      </c>
    </row>
    <row r="109" spans="1:15" x14ac:dyDescent="0.25">
      <c r="A109" s="3">
        <v>27494</v>
      </c>
      <c r="B109" s="3" t="s">
        <v>37</v>
      </c>
      <c r="C109" s="3" t="s">
        <v>39</v>
      </c>
      <c r="D109" s="4">
        <v>40000</v>
      </c>
      <c r="E109" s="3">
        <v>2</v>
      </c>
      <c r="F109" s="3" t="s">
        <v>19</v>
      </c>
      <c r="G109" s="3" t="s">
        <v>14</v>
      </c>
      <c r="H109" s="3" t="s">
        <v>18</v>
      </c>
      <c r="I109" s="3">
        <v>2</v>
      </c>
      <c r="J109" s="3" t="s">
        <v>26</v>
      </c>
      <c r="K109" s="3" t="s">
        <v>24</v>
      </c>
      <c r="L109" s="3">
        <v>53</v>
      </c>
      <c r="M109" s="3" t="s">
        <v>51</v>
      </c>
      <c r="N109" s="3" t="s">
        <v>48</v>
      </c>
      <c r="O109" s="3" t="s">
        <v>15</v>
      </c>
    </row>
    <row r="110" spans="1:15" x14ac:dyDescent="0.25">
      <c r="A110" s="3">
        <v>26829</v>
      </c>
      <c r="B110" s="3" t="s">
        <v>36</v>
      </c>
      <c r="C110" s="3" t="s">
        <v>39</v>
      </c>
      <c r="D110" s="4">
        <v>40000</v>
      </c>
      <c r="E110" s="3">
        <v>0</v>
      </c>
      <c r="F110" s="3" t="s">
        <v>13</v>
      </c>
      <c r="G110" s="3" t="s">
        <v>20</v>
      </c>
      <c r="H110" s="3" t="s">
        <v>15</v>
      </c>
      <c r="I110" s="3">
        <v>0</v>
      </c>
      <c r="J110" s="3" t="s">
        <v>16</v>
      </c>
      <c r="K110" s="3" t="s">
        <v>17</v>
      </c>
      <c r="L110" s="3">
        <v>38</v>
      </c>
      <c r="M110" s="3" t="s">
        <v>53</v>
      </c>
      <c r="N110" s="3" t="s">
        <v>49</v>
      </c>
      <c r="O110" s="3" t="s">
        <v>15</v>
      </c>
    </row>
    <row r="111" spans="1:15" x14ac:dyDescent="0.25">
      <c r="A111" s="3">
        <v>28395</v>
      </c>
      <c r="B111" s="3" t="s">
        <v>37</v>
      </c>
      <c r="C111" s="3" t="s">
        <v>38</v>
      </c>
      <c r="D111" s="4">
        <v>40000</v>
      </c>
      <c r="E111" s="3">
        <v>0</v>
      </c>
      <c r="F111" s="3" t="s">
        <v>13</v>
      </c>
      <c r="G111" s="3" t="s">
        <v>21</v>
      </c>
      <c r="H111" s="3" t="s">
        <v>18</v>
      </c>
      <c r="I111" s="3">
        <v>0</v>
      </c>
      <c r="J111" s="3" t="s">
        <v>16</v>
      </c>
      <c r="K111" s="3" t="s">
        <v>17</v>
      </c>
      <c r="L111" s="3">
        <v>39</v>
      </c>
      <c r="M111" s="3" t="s">
        <v>53</v>
      </c>
      <c r="N111" s="3" t="s">
        <v>49</v>
      </c>
      <c r="O111" s="3" t="s">
        <v>15</v>
      </c>
    </row>
    <row r="112" spans="1:15" x14ac:dyDescent="0.25">
      <c r="A112" s="3">
        <v>21006</v>
      </c>
      <c r="B112" s="3" t="s">
        <v>37</v>
      </c>
      <c r="C112" s="3" t="s">
        <v>39</v>
      </c>
      <c r="D112" s="4">
        <v>30000</v>
      </c>
      <c r="E112" s="3">
        <v>1</v>
      </c>
      <c r="F112" s="3" t="s">
        <v>19</v>
      </c>
      <c r="G112" s="3" t="s">
        <v>25</v>
      </c>
      <c r="H112" s="3" t="s">
        <v>18</v>
      </c>
      <c r="I112" s="3">
        <v>0</v>
      </c>
      <c r="J112" s="3" t="s">
        <v>16</v>
      </c>
      <c r="K112" s="3" t="s">
        <v>17</v>
      </c>
      <c r="L112" s="3">
        <v>46</v>
      </c>
      <c r="M112" s="3" t="s">
        <v>51</v>
      </c>
      <c r="N112" s="3" t="s">
        <v>48</v>
      </c>
      <c r="O112" s="3" t="s">
        <v>15</v>
      </c>
    </row>
    <row r="113" spans="1:15" x14ac:dyDescent="0.25">
      <c r="A113" s="3">
        <v>14682</v>
      </c>
      <c r="B113" s="3" t="s">
        <v>37</v>
      </c>
      <c r="C113" s="3" t="s">
        <v>39</v>
      </c>
      <c r="D113" s="4">
        <v>70000</v>
      </c>
      <c r="E113" s="3">
        <v>0</v>
      </c>
      <c r="F113" s="3" t="s">
        <v>13</v>
      </c>
      <c r="G113" s="3" t="s">
        <v>21</v>
      </c>
      <c r="H113" s="3" t="s">
        <v>18</v>
      </c>
      <c r="I113" s="3">
        <v>1</v>
      </c>
      <c r="J113" s="3" t="s">
        <v>23</v>
      </c>
      <c r="K113" s="3" t="s">
        <v>24</v>
      </c>
      <c r="L113" s="3">
        <v>38</v>
      </c>
      <c r="M113" s="3" t="s">
        <v>53</v>
      </c>
      <c r="N113" s="3" t="s">
        <v>49</v>
      </c>
      <c r="O113" s="3" t="s">
        <v>18</v>
      </c>
    </row>
    <row r="114" spans="1:15" x14ac:dyDescent="0.25">
      <c r="A114" s="3">
        <v>17650</v>
      </c>
      <c r="B114" s="3" t="s">
        <v>37</v>
      </c>
      <c r="C114" s="3" t="s">
        <v>39</v>
      </c>
      <c r="D114" s="4">
        <v>40000</v>
      </c>
      <c r="E114" s="3">
        <v>2</v>
      </c>
      <c r="F114" s="3" t="s">
        <v>19</v>
      </c>
      <c r="G114" s="3" t="s">
        <v>20</v>
      </c>
      <c r="H114" s="3" t="s">
        <v>15</v>
      </c>
      <c r="I114" s="3">
        <v>2</v>
      </c>
      <c r="J114" s="3" t="s">
        <v>26</v>
      </c>
      <c r="K114" s="3" t="s">
        <v>17</v>
      </c>
      <c r="L114" s="3">
        <v>35</v>
      </c>
      <c r="M114" s="3" t="s">
        <v>53</v>
      </c>
      <c r="N114" s="3" t="s">
        <v>49</v>
      </c>
      <c r="O114" s="3" t="s">
        <v>18</v>
      </c>
    </row>
    <row r="115" spans="1:15" x14ac:dyDescent="0.25">
      <c r="A115" s="3">
        <v>29191</v>
      </c>
      <c r="B115" s="3" t="s">
        <v>37</v>
      </c>
      <c r="C115" s="3" t="s">
        <v>39</v>
      </c>
      <c r="D115" s="4">
        <v>130000</v>
      </c>
      <c r="E115" s="3">
        <v>1</v>
      </c>
      <c r="F115" s="3" t="s">
        <v>31</v>
      </c>
      <c r="G115" s="3" t="s">
        <v>28</v>
      </c>
      <c r="H115" s="3" t="s">
        <v>18</v>
      </c>
      <c r="I115" s="3">
        <v>1</v>
      </c>
      <c r="J115" s="3" t="s">
        <v>16</v>
      </c>
      <c r="K115" s="3" t="s">
        <v>24</v>
      </c>
      <c r="L115" s="3">
        <v>36</v>
      </c>
      <c r="M115" s="3" t="s">
        <v>53</v>
      </c>
      <c r="N115" s="3" t="s">
        <v>49</v>
      </c>
      <c r="O115" s="3" t="s">
        <v>15</v>
      </c>
    </row>
    <row r="116" spans="1:15" x14ac:dyDescent="0.25">
      <c r="A116" s="3">
        <v>15030</v>
      </c>
      <c r="B116" s="3" t="s">
        <v>36</v>
      </c>
      <c r="C116" s="3" t="s">
        <v>38</v>
      </c>
      <c r="D116" s="4">
        <v>20000</v>
      </c>
      <c r="E116" s="3">
        <v>0</v>
      </c>
      <c r="F116" s="3" t="s">
        <v>13</v>
      </c>
      <c r="G116" s="3" t="s">
        <v>20</v>
      </c>
      <c r="H116" s="3" t="s">
        <v>15</v>
      </c>
      <c r="I116" s="3">
        <v>0</v>
      </c>
      <c r="J116" s="3" t="s">
        <v>16</v>
      </c>
      <c r="K116" s="3" t="s">
        <v>24</v>
      </c>
      <c r="L116" s="3">
        <v>26</v>
      </c>
      <c r="M116" s="3" t="s">
        <v>53</v>
      </c>
      <c r="N116" s="3" t="s">
        <v>49</v>
      </c>
      <c r="O116" s="3" t="s">
        <v>15</v>
      </c>
    </row>
    <row r="117" spans="1:15" x14ac:dyDescent="0.25">
      <c r="A117" s="3">
        <v>24140</v>
      </c>
      <c r="B117" s="3" t="s">
        <v>37</v>
      </c>
      <c r="C117" s="3" t="s">
        <v>38</v>
      </c>
      <c r="D117" s="4">
        <v>10000</v>
      </c>
      <c r="E117" s="3">
        <v>0</v>
      </c>
      <c r="F117" s="3" t="s">
        <v>31</v>
      </c>
      <c r="G117" s="3" t="s">
        <v>25</v>
      </c>
      <c r="H117" s="3" t="s">
        <v>18</v>
      </c>
      <c r="I117" s="3">
        <v>0</v>
      </c>
      <c r="J117" s="3" t="s">
        <v>16</v>
      </c>
      <c r="K117" s="3" t="s">
        <v>17</v>
      </c>
      <c r="L117" s="3">
        <v>30</v>
      </c>
      <c r="M117" s="3" t="s">
        <v>53</v>
      </c>
      <c r="N117" s="3" t="s">
        <v>49</v>
      </c>
      <c r="O117" s="3" t="s">
        <v>15</v>
      </c>
    </row>
    <row r="118" spans="1:15" x14ac:dyDescent="0.25">
      <c r="A118" s="3">
        <v>22496</v>
      </c>
      <c r="B118" s="3" t="s">
        <v>36</v>
      </c>
      <c r="C118" s="3" t="s">
        <v>39</v>
      </c>
      <c r="D118" s="4">
        <v>30000</v>
      </c>
      <c r="E118" s="3">
        <v>1</v>
      </c>
      <c r="F118" s="3" t="s">
        <v>13</v>
      </c>
      <c r="G118" s="3" t="s">
        <v>14</v>
      </c>
      <c r="H118" s="3" t="s">
        <v>15</v>
      </c>
      <c r="I118" s="3">
        <v>2</v>
      </c>
      <c r="J118" s="3" t="s">
        <v>16</v>
      </c>
      <c r="K118" s="3" t="s">
        <v>17</v>
      </c>
      <c r="L118" s="3">
        <v>42</v>
      </c>
      <c r="M118" s="3" t="s">
        <v>53</v>
      </c>
      <c r="N118" s="3" t="s">
        <v>49</v>
      </c>
      <c r="O118" s="3" t="s">
        <v>18</v>
      </c>
    </row>
    <row r="119" spans="1:15" x14ac:dyDescent="0.25">
      <c r="A119" s="3">
        <v>24065</v>
      </c>
      <c r="B119" s="3" t="s">
        <v>37</v>
      </c>
      <c r="C119" s="3" t="s">
        <v>39</v>
      </c>
      <c r="D119" s="4">
        <v>20000</v>
      </c>
      <c r="E119" s="3">
        <v>0</v>
      </c>
      <c r="F119" s="3" t="s">
        <v>27</v>
      </c>
      <c r="G119" s="3" t="s">
        <v>25</v>
      </c>
      <c r="H119" s="3" t="s">
        <v>15</v>
      </c>
      <c r="I119" s="3">
        <v>0</v>
      </c>
      <c r="J119" s="3" t="s">
        <v>16</v>
      </c>
      <c r="K119" s="3" t="s">
        <v>17</v>
      </c>
      <c r="L119" s="3">
        <v>40</v>
      </c>
      <c r="M119" s="3" t="s">
        <v>53</v>
      </c>
      <c r="N119" s="3" t="s">
        <v>49</v>
      </c>
      <c r="O119" s="3" t="s">
        <v>15</v>
      </c>
    </row>
    <row r="120" spans="1:15" x14ac:dyDescent="0.25">
      <c r="A120" s="3">
        <v>19914</v>
      </c>
      <c r="B120" s="3" t="s">
        <v>36</v>
      </c>
      <c r="C120" s="3" t="s">
        <v>38</v>
      </c>
      <c r="D120" s="4">
        <v>80000</v>
      </c>
      <c r="E120" s="3">
        <v>5</v>
      </c>
      <c r="F120" s="3" t="s">
        <v>13</v>
      </c>
      <c r="G120" s="3" t="s">
        <v>28</v>
      </c>
      <c r="H120" s="3" t="s">
        <v>15</v>
      </c>
      <c r="I120" s="3">
        <v>2</v>
      </c>
      <c r="J120" s="3" t="s">
        <v>22</v>
      </c>
      <c r="K120" s="3" t="s">
        <v>17</v>
      </c>
      <c r="L120" s="3">
        <v>62</v>
      </c>
      <c r="M120" s="3" t="s">
        <v>54</v>
      </c>
      <c r="N120" s="3" t="s">
        <v>50</v>
      </c>
      <c r="O120" s="3" t="s">
        <v>18</v>
      </c>
    </row>
    <row r="121" spans="1:15" x14ac:dyDescent="0.25">
      <c r="A121" s="3">
        <v>12871</v>
      </c>
      <c r="B121" s="3" t="s">
        <v>37</v>
      </c>
      <c r="C121" s="3" t="s">
        <v>39</v>
      </c>
      <c r="D121" s="4">
        <v>30000</v>
      </c>
      <c r="E121" s="3">
        <v>0</v>
      </c>
      <c r="F121" s="3" t="s">
        <v>19</v>
      </c>
      <c r="G121" s="3" t="s">
        <v>20</v>
      </c>
      <c r="H121" s="3" t="s">
        <v>18</v>
      </c>
      <c r="I121" s="3">
        <v>1</v>
      </c>
      <c r="J121" s="3" t="s">
        <v>22</v>
      </c>
      <c r="K121" s="3" t="s">
        <v>17</v>
      </c>
      <c r="L121" s="3">
        <v>29</v>
      </c>
      <c r="M121" s="3" t="s">
        <v>53</v>
      </c>
      <c r="N121" s="3" t="s">
        <v>49</v>
      </c>
      <c r="O121" s="3" t="s">
        <v>18</v>
      </c>
    </row>
    <row r="122" spans="1:15" x14ac:dyDescent="0.25">
      <c r="A122" s="3">
        <v>22988</v>
      </c>
      <c r="B122" s="3" t="s">
        <v>36</v>
      </c>
      <c r="C122" s="3" t="s">
        <v>39</v>
      </c>
      <c r="D122" s="4">
        <v>40000</v>
      </c>
      <c r="E122" s="3">
        <v>2</v>
      </c>
      <c r="F122" s="3" t="s">
        <v>13</v>
      </c>
      <c r="G122" s="3" t="s">
        <v>28</v>
      </c>
      <c r="H122" s="3" t="s">
        <v>15</v>
      </c>
      <c r="I122" s="3">
        <v>2</v>
      </c>
      <c r="J122" s="3" t="s">
        <v>23</v>
      </c>
      <c r="K122" s="3" t="s">
        <v>24</v>
      </c>
      <c r="L122" s="3">
        <v>66</v>
      </c>
      <c r="M122" s="3" t="s">
        <v>54</v>
      </c>
      <c r="N122" s="3" t="s">
        <v>50</v>
      </c>
      <c r="O122" s="3" t="s">
        <v>15</v>
      </c>
    </row>
    <row r="123" spans="1:15" x14ac:dyDescent="0.25">
      <c r="A123" s="3">
        <v>15922</v>
      </c>
      <c r="B123" s="3" t="s">
        <v>36</v>
      </c>
      <c r="C123" s="3" t="s">
        <v>38</v>
      </c>
      <c r="D123" s="4">
        <v>150000</v>
      </c>
      <c r="E123" s="3">
        <v>2</v>
      </c>
      <c r="F123" s="3" t="s">
        <v>27</v>
      </c>
      <c r="G123" s="3" t="s">
        <v>21</v>
      </c>
      <c r="H123" s="3" t="s">
        <v>15</v>
      </c>
      <c r="I123" s="3">
        <v>4</v>
      </c>
      <c r="J123" s="3" t="s">
        <v>16</v>
      </c>
      <c r="K123" s="3" t="s">
        <v>17</v>
      </c>
      <c r="L123" s="3">
        <v>48</v>
      </c>
      <c r="M123" s="3" t="s">
        <v>51</v>
      </c>
      <c r="N123" s="3" t="s">
        <v>48</v>
      </c>
      <c r="O123" s="3" t="s">
        <v>18</v>
      </c>
    </row>
    <row r="124" spans="1:15" x14ac:dyDescent="0.25">
      <c r="A124" s="3">
        <v>12344</v>
      </c>
      <c r="B124" s="3" t="s">
        <v>37</v>
      </c>
      <c r="C124" s="3" t="s">
        <v>39</v>
      </c>
      <c r="D124" s="4">
        <v>80000</v>
      </c>
      <c r="E124" s="3">
        <v>0</v>
      </c>
      <c r="F124" s="3" t="s">
        <v>13</v>
      </c>
      <c r="G124" s="3" t="s">
        <v>21</v>
      </c>
      <c r="H124" s="3" t="s">
        <v>18</v>
      </c>
      <c r="I124" s="3">
        <v>3</v>
      </c>
      <c r="J124" s="3" t="s">
        <v>46</v>
      </c>
      <c r="K124" s="3" t="s">
        <v>24</v>
      </c>
      <c r="L124" s="3">
        <v>31</v>
      </c>
      <c r="M124" s="3" t="s">
        <v>53</v>
      </c>
      <c r="N124" s="3" t="s">
        <v>49</v>
      </c>
      <c r="O124" s="3" t="s">
        <v>18</v>
      </c>
    </row>
    <row r="125" spans="1:15" x14ac:dyDescent="0.25">
      <c r="A125" s="3">
        <v>23627</v>
      </c>
      <c r="B125" s="3" t="s">
        <v>37</v>
      </c>
      <c r="C125" s="3" t="s">
        <v>39</v>
      </c>
      <c r="D125" s="4">
        <v>100000</v>
      </c>
      <c r="E125" s="3">
        <v>3</v>
      </c>
      <c r="F125" s="3" t="s">
        <v>19</v>
      </c>
      <c r="G125" s="3" t="s">
        <v>28</v>
      </c>
      <c r="H125" s="3" t="s">
        <v>18</v>
      </c>
      <c r="I125" s="3">
        <v>4</v>
      </c>
      <c r="J125" s="3" t="s">
        <v>23</v>
      </c>
      <c r="K125" s="3" t="s">
        <v>17</v>
      </c>
      <c r="L125" s="3">
        <v>56</v>
      </c>
      <c r="M125" s="3" t="s">
        <v>54</v>
      </c>
      <c r="N125" s="3" t="s">
        <v>50</v>
      </c>
      <c r="O125" s="3" t="s">
        <v>18</v>
      </c>
    </row>
    <row r="126" spans="1:15" x14ac:dyDescent="0.25">
      <c r="A126" s="3">
        <v>27775</v>
      </c>
      <c r="B126" s="3" t="s">
        <v>37</v>
      </c>
      <c r="C126" s="3" t="s">
        <v>39</v>
      </c>
      <c r="D126" s="4">
        <v>40000</v>
      </c>
      <c r="E126" s="3">
        <v>0</v>
      </c>
      <c r="F126" s="3" t="s">
        <v>13</v>
      </c>
      <c r="G126" s="3" t="s">
        <v>20</v>
      </c>
      <c r="H126" s="3" t="s">
        <v>18</v>
      </c>
      <c r="I126" s="3">
        <v>0</v>
      </c>
      <c r="J126" s="3" t="s">
        <v>16</v>
      </c>
      <c r="K126" s="3" t="s">
        <v>17</v>
      </c>
      <c r="L126" s="3">
        <v>38</v>
      </c>
      <c r="M126" s="3" t="s">
        <v>53</v>
      </c>
      <c r="N126" s="3" t="s">
        <v>49</v>
      </c>
      <c r="O126" s="3" t="s">
        <v>15</v>
      </c>
    </row>
    <row r="127" spans="1:15" x14ac:dyDescent="0.25">
      <c r="A127" s="3">
        <v>29301</v>
      </c>
      <c r="B127" s="3" t="s">
        <v>36</v>
      </c>
      <c r="C127" s="3" t="s">
        <v>38</v>
      </c>
      <c r="D127" s="4">
        <v>80000</v>
      </c>
      <c r="E127" s="3">
        <v>5</v>
      </c>
      <c r="F127" s="3" t="s">
        <v>13</v>
      </c>
      <c r="G127" s="3" t="s">
        <v>21</v>
      </c>
      <c r="H127" s="3" t="s">
        <v>15</v>
      </c>
      <c r="I127" s="3">
        <v>4</v>
      </c>
      <c r="J127" s="3" t="s">
        <v>26</v>
      </c>
      <c r="K127" s="3" t="s">
        <v>24</v>
      </c>
      <c r="L127" s="3">
        <v>40</v>
      </c>
      <c r="M127" s="3" t="s">
        <v>53</v>
      </c>
      <c r="N127" s="3" t="s">
        <v>49</v>
      </c>
      <c r="O127" s="3" t="s">
        <v>18</v>
      </c>
    </row>
    <row r="128" spans="1:15" x14ac:dyDescent="0.25">
      <c r="A128" s="3">
        <v>12716</v>
      </c>
      <c r="B128" s="3" t="s">
        <v>37</v>
      </c>
      <c r="C128" s="3" t="s">
        <v>38</v>
      </c>
      <c r="D128" s="4">
        <v>30000</v>
      </c>
      <c r="E128" s="3">
        <v>0</v>
      </c>
      <c r="F128" s="3" t="s">
        <v>19</v>
      </c>
      <c r="G128" s="3" t="s">
        <v>20</v>
      </c>
      <c r="H128" s="3" t="s">
        <v>15</v>
      </c>
      <c r="I128" s="3">
        <v>1</v>
      </c>
      <c r="J128" s="3" t="s">
        <v>22</v>
      </c>
      <c r="K128" s="3" t="s">
        <v>17</v>
      </c>
      <c r="L128" s="3">
        <v>32</v>
      </c>
      <c r="M128" s="3" t="s">
        <v>53</v>
      </c>
      <c r="N128" s="3" t="s">
        <v>49</v>
      </c>
      <c r="O128" s="3" t="s">
        <v>18</v>
      </c>
    </row>
    <row r="129" spans="1:15" x14ac:dyDescent="0.25">
      <c r="A129" s="3">
        <v>12472</v>
      </c>
      <c r="B129" s="3" t="s">
        <v>36</v>
      </c>
      <c r="C129" s="3" t="s">
        <v>38</v>
      </c>
      <c r="D129" s="4">
        <v>30000</v>
      </c>
      <c r="E129" s="3">
        <v>1</v>
      </c>
      <c r="F129" s="3" t="s">
        <v>13</v>
      </c>
      <c r="G129" s="3" t="s">
        <v>20</v>
      </c>
      <c r="H129" s="3" t="s">
        <v>15</v>
      </c>
      <c r="I129" s="3">
        <v>1</v>
      </c>
      <c r="J129" s="3" t="s">
        <v>22</v>
      </c>
      <c r="K129" s="3" t="s">
        <v>17</v>
      </c>
      <c r="L129" s="3">
        <v>39</v>
      </c>
      <c r="M129" s="3" t="s">
        <v>53</v>
      </c>
      <c r="N129" s="3" t="s">
        <v>49</v>
      </c>
      <c r="O129" s="3" t="s">
        <v>18</v>
      </c>
    </row>
    <row r="130" spans="1:15" x14ac:dyDescent="0.25">
      <c r="A130" s="3">
        <v>20970</v>
      </c>
      <c r="B130" s="3" t="s">
        <v>37</v>
      </c>
      <c r="C130" s="3" t="s">
        <v>38</v>
      </c>
      <c r="D130" s="4">
        <v>10000</v>
      </c>
      <c r="E130" s="3">
        <v>2</v>
      </c>
      <c r="F130" s="3" t="s">
        <v>19</v>
      </c>
      <c r="G130" s="3" t="s">
        <v>25</v>
      </c>
      <c r="H130" s="3" t="s">
        <v>15</v>
      </c>
      <c r="I130" s="3">
        <v>1</v>
      </c>
      <c r="J130" s="3" t="s">
        <v>16</v>
      </c>
      <c r="K130" s="3" t="s">
        <v>17</v>
      </c>
      <c r="L130" s="3">
        <v>52</v>
      </c>
      <c r="M130" s="3" t="s">
        <v>51</v>
      </c>
      <c r="N130" s="3" t="s">
        <v>48</v>
      </c>
      <c r="O130" s="3" t="s">
        <v>15</v>
      </c>
    </row>
    <row r="131" spans="1:15" x14ac:dyDescent="0.25">
      <c r="A131" s="3">
        <v>26818</v>
      </c>
      <c r="B131" s="3" t="s">
        <v>37</v>
      </c>
      <c r="C131" s="3" t="s">
        <v>38</v>
      </c>
      <c r="D131" s="4">
        <v>10000</v>
      </c>
      <c r="E131" s="3">
        <v>3</v>
      </c>
      <c r="F131" s="3" t="s">
        <v>27</v>
      </c>
      <c r="G131" s="3" t="s">
        <v>25</v>
      </c>
      <c r="H131" s="3" t="s">
        <v>15</v>
      </c>
      <c r="I131" s="3">
        <v>1</v>
      </c>
      <c r="J131" s="3" t="s">
        <v>16</v>
      </c>
      <c r="K131" s="3" t="s">
        <v>17</v>
      </c>
      <c r="L131" s="3">
        <v>39</v>
      </c>
      <c r="M131" s="3" t="s">
        <v>53</v>
      </c>
      <c r="N131" s="3" t="s">
        <v>49</v>
      </c>
      <c r="O131" s="3" t="s">
        <v>15</v>
      </c>
    </row>
    <row r="132" spans="1:15" x14ac:dyDescent="0.25">
      <c r="A132" s="3">
        <v>12993</v>
      </c>
      <c r="B132" s="3" t="s">
        <v>36</v>
      </c>
      <c r="C132" s="3" t="s">
        <v>38</v>
      </c>
      <c r="D132" s="4">
        <v>60000</v>
      </c>
      <c r="E132" s="3">
        <v>2</v>
      </c>
      <c r="F132" s="3" t="s">
        <v>13</v>
      </c>
      <c r="G132" s="3" t="s">
        <v>21</v>
      </c>
      <c r="H132" s="3" t="s">
        <v>15</v>
      </c>
      <c r="I132" s="3">
        <v>1</v>
      </c>
      <c r="J132" s="3" t="s">
        <v>22</v>
      </c>
      <c r="K132" s="3" t="s">
        <v>24</v>
      </c>
      <c r="L132" s="3">
        <v>37</v>
      </c>
      <c r="M132" s="3" t="s">
        <v>53</v>
      </c>
      <c r="N132" s="3" t="s">
        <v>49</v>
      </c>
      <c r="O132" s="3" t="s">
        <v>18</v>
      </c>
    </row>
    <row r="133" spans="1:15" x14ac:dyDescent="0.25">
      <c r="A133" s="3">
        <v>14192</v>
      </c>
      <c r="B133" s="3" t="s">
        <v>36</v>
      </c>
      <c r="C133" s="3" t="s">
        <v>38</v>
      </c>
      <c r="D133" s="4">
        <v>90000</v>
      </c>
      <c r="E133" s="3">
        <v>4</v>
      </c>
      <c r="F133" s="3" t="s">
        <v>27</v>
      </c>
      <c r="G133" s="3" t="s">
        <v>28</v>
      </c>
      <c r="H133" s="3" t="s">
        <v>15</v>
      </c>
      <c r="I133" s="3">
        <v>3</v>
      </c>
      <c r="J133" s="3" t="s">
        <v>23</v>
      </c>
      <c r="K133" s="3" t="s">
        <v>17</v>
      </c>
      <c r="L133" s="3">
        <v>56</v>
      </c>
      <c r="M133" s="3" t="s">
        <v>54</v>
      </c>
      <c r="N133" s="3" t="s">
        <v>50</v>
      </c>
      <c r="O133" s="3" t="s">
        <v>15</v>
      </c>
    </row>
    <row r="134" spans="1:15" x14ac:dyDescent="0.25">
      <c r="A134" s="3">
        <v>19477</v>
      </c>
      <c r="B134" s="3" t="s">
        <v>36</v>
      </c>
      <c r="C134" s="3" t="s">
        <v>38</v>
      </c>
      <c r="D134" s="4">
        <v>40000</v>
      </c>
      <c r="E134" s="3">
        <v>0</v>
      </c>
      <c r="F134" s="3" t="s">
        <v>13</v>
      </c>
      <c r="G134" s="3" t="s">
        <v>21</v>
      </c>
      <c r="H134" s="3" t="s">
        <v>15</v>
      </c>
      <c r="I134" s="3">
        <v>0</v>
      </c>
      <c r="J134" s="3" t="s">
        <v>16</v>
      </c>
      <c r="K134" s="3" t="s">
        <v>17</v>
      </c>
      <c r="L134" s="3">
        <v>40</v>
      </c>
      <c r="M134" s="3" t="s">
        <v>53</v>
      </c>
      <c r="N134" s="3" t="s">
        <v>49</v>
      </c>
      <c r="O134" s="3" t="s">
        <v>15</v>
      </c>
    </row>
    <row r="135" spans="1:15" x14ac:dyDescent="0.25">
      <c r="A135" s="3">
        <v>26796</v>
      </c>
      <c r="B135" s="3" t="s">
        <v>37</v>
      </c>
      <c r="C135" s="3" t="s">
        <v>38</v>
      </c>
      <c r="D135" s="4">
        <v>40000</v>
      </c>
      <c r="E135" s="3">
        <v>2</v>
      </c>
      <c r="F135" s="3" t="s">
        <v>13</v>
      </c>
      <c r="G135" s="3" t="s">
        <v>28</v>
      </c>
      <c r="H135" s="3" t="s">
        <v>15</v>
      </c>
      <c r="I135" s="3">
        <v>2</v>
      </c>
      <c r="J135" s="3" t="s">
        <v>23</v>
      </c>
      <c r="K135" s="3" t="s">
        <v>24</v>
      </c>
      <c r="L135" s="3">
        <v>65</v>
      </c>
      <c r="M135" s="3" t="s">
        <v>54</v>
      </c>
      <c r="N135" s="3" t="s">
        <v>50</v>
      </c>
      <c r="O135" s="3" t="s">
        <v>15</v>
      </c>
    </row>
    <row r="136" spans="1:15" x14ac:dyDescent="0.25">
      <c r="A136" s="3">
        <v>21094</v>
      </c>
      <c r="B136" s="3" t="s">
        <v>37</v>
      </c>
      <c r="C136" s="3" t="s">
        <v>39</v>
      </c>
      <c r="D136" s="4">
        <v>30000</v>
      </c>
      <c r="E136" s="3">
        <v>2</v>
      </c>
      <c r="F136" s="3" t="s">
        <v>19</v>
      </c>
      <c r="G136" s="3" t="s">
        <v>20</v>
      </c>
      <c r="H136" s="3" t="s">
        <v>15</v>
      </c>
      <c r="I136" s="3">
        <v>2</v>
      </c>
      <c r="J136" s="3" t="s">
        <v>16</v>
      </c>
      <c r="K136" s="3" t="s">
        <v>17</v>
      </c>
      <c r="L136" s="3">
        <v>42</v>
      </c>
      <c r="M136" s="3" t="s">
        <v>53</v>
      </c>
      <c r="N136" s="3" t="s">
        <v>49</v>
      </c>
      <c r="O136" s="3" t="s">
        <v>18</v>
      </c>
    </row>
    <row r="137" spans="1:15" x14ac:dyDescent="0.25">
      <c r="A137" s="3">
        <v>12234</v>
      </c>
      <c r="B137" s="3" t="s">
        <v>36</v>
      </c>
      <c r="C137" s="3" t="s">
        <v>38</v>
      </c>
      <c r="D137" s="4">
        <v>10000</v>
      </c>
      <c r="E137" s="3">
        <v>2</v>
      </c>
      <c r="F137" s="3" t="s">
        <v>19</v>
      </c>
      <c r="G137" s="3" t="s">
        <v>25</v>
      </c>
      <c r="H137" s="3" t="s">
        <v>15</v>
      </c>
      <c r="I137" s="3">
        <v>1</v>
      </c>
      <c r="J137" s="3" t="s">
        <v>22</v>
      </c>
      <c r="K137" s="3" t="s">
        <v>17</v>
      </c>
      <c r="L137" s="3">
        <v>52</v>
      </c>
      <c r="M137" s="3" t="s">
        <v>51</v>
      </c>
      <c r="N137" s="3" t="s">
        <v>48</v>
      </c>
      <c r="O137" s="3" t="s">
        <v>18</v>
      </c>
    </row>
    <row r="138" spans="1:15" x14ac:dyDescent="0.25">
      <c r="A138" s="3">
        <v>28683</v>
      </c>
      <c r="B138" s="3" t="s">
        <v>37</v>
      </c>
      <c r="C138" s="3" t="s">
        <v>39</v>
      </c>
      <c r="D138" s="4">
        <v>10000</v>
      </c>
      <c r="E138" s="3">
        <v>1</v>
      </c>
      <c r="F138" s="3" t="s">
        <v>27</v>
      </c>
      <c r="G138" s="3" t="s">
        <v>25</v>
      </c>
      <c r="H138" s="3" t="s">
        <v>18</v>
      </c>
      <c r="I138" s="3">
        <v>1</v>
      </c>
      <c r="J138" s="3" t="s">
        <v>23</v>
      </c>
      <c r="K138" s="3" t="s">
        <v>17</v>
      </c>
      <c r="L138" s="3">
        <v>35</v>
      </c>
      <c r="M138" s="3" t="s">
        <v>53</v>
      </c>
      <c r="N138" s="3" t="s">
        <v>49</v>
      </c>
      <c r="O138" s="3" t="s">
        <v>15</v>
      </c>
    </row>
    <row r="139" spans="1:15" x14ac:dyDescent="0.25">
      <c r="A139" s="3">
        <v>17994</v>
      </c>
      <c r="B139" s="3" t="s">
        <v>37</v>
      </c>
      <c r="C139" s="3" t="s">
        <v>38</v>
      </c>
      <c r="D139" s="4">
        <v>20000</v>
      </c>
      <c r="E139" s="3">
        <v>2</v>
      </c>
      <c r="F139" s="3" t="s">
        <v>27</v>
      </c>
      <c r="G139" s="3" t="s">
        <v>25</v>
      </c>
      <c r="H139" s="3" t="s">
        <v>15</v>
      </c>
      <c r="I139" s="3">
        <v>2</v>
      </c>
      <c r="J139" s="3" t="s">
        <v>16</v>
      </c>
      <c r="K139" s="3" t="s">
        <v>17</v>
      </c>
      <c r="L139" s="3">
        <v>42</v>
      </c>
      <c r="M139" s="3" t="s">
        <v>53</v>
      </c>
      <c r="N139" s="3" t="s">
        <v>49</v>
      </c>
      <c r="O139" s="3" t="s">
        <v>18</v>
      </c>
    </row>
    <row r="140" spans="1:15" x14ac:dyDescent="0.25">
      <c r="A140" s="3">
        <v>24273</v>
      </c>
      <c r="B140" s="3" t="s">
        <v>36</v>
      </c>
      <c r="C140" s="3" t="s">
        <v>39</v>
      </c>
      <c r="D140" s="4">
        <v>20000</v>
      </c>
      <c r="E140" s="3">
        <v>2</v>
      </c>
      <c r="F140" s="3" t="s">
        <v>29</v>
      </c>
      <c r="G140" s="3" t="s">
        <v>20</v>
      </c>
      <c r="H140" s="3" t="s">
        <v>15</v>
      </c>
      <c r="I140" s="3">
        <v>2</v>
      </c>
      <c r="J140" s="3" t="s">
        <v>23</v>
      </c>
      <c r="K140" s="3" t="s">
        <v>24</v>
      </c>
      <c r="L140" s="3">
        <v>55</v>
      </c>
      <c r="M140" s="3" t="s">
        <v>52</v>
      </c>
      <c r="N140" s="3" t="s">
        <v>47</v>
      </c>
      <c r="O140" s="3" t="s">
        <v>15</v>
      </c>
    </row>
    <row r="141" spans="1:15" x14ac:dyDescent="0.25">
      <c r="A141" s="3">
        <v>26547</v>
      </c>
      <c r="B141" s="3" t="s">
        <v>37</v>
      </c>
      <c r="C141" s="3" t="s">
        <v>39</v>
      </c>
      <c r="D141" s="4">
        <v>30000</v>
      </c>
      <c r="E141" s="3">
        <v>2</v>
      </c>
      <c r="F141" s="3" t="s">
        <v>19</v>
      </c>
      <c r="G141" s="3" t="s">
        <v>20</v>
      </c>
      <c r="H141" s="3" t="s">
        <v>18</v>
      </c>
      <c r="I141" s="3">
        <v>2</v>
      </c>
      <c r="J141" s="3" t="s">
        <v>23</v>
      </c>
      <c r="K141" s="3" t="s">
        <v>24</v>
      </c>
      <c r="L141" s="3">
        <v>60</v>
      </c>
      <c r="M141" s="3" t="s">
        <v>54</v>
      </c>
      <c r="N141" s="3" t="s">
        <v>50</v>
      </c>
      <c r="O141" s="3" t="s">
        <v>15</v>
      </c>
    </row>
    <row r="142" spans="1:15" x14ac:dyDescent="0.25">
      <c r="A142" s="3">
        <v>22500</v>
      </c>
      <c r="B142" s="3" t="s">
        <v>37</v>
      </c>
      <c r="C142" s="3" t="s">
        <v>38</v>
      </c>
      <c r="D142" s="4">
        <v>40000</v>
      </c>
      <c r="E142" s="3">
        <v>0</v>
      </c>
      <c r="F142" s="3" t="s">
        <v>13</v>
      </c>
      <c r="G142" s="3" t="s">
        <v>21</v>
      </c>
      <c r="H142" s="3" t="s">
        <v>18</v>
      </c>
      <c r="I142" s="3">
        <v>0</v>
      </c>
      <c r="J142" s="3" t="s">
        <v>16</v>
      </c>
      <c r="K142" s="3" t="s">
        <v>17</v>
      </c>
      <c r="L142" s="3">
        <v>40</v>
      </c>
      <c r="M142" s="3" t="s">
        <v>53</v>
      </c>
      <c r="N142" s="3" t="s">
        <v>49</v>
      </c>
      <c r="O142" s="3" t="s">
        <v>15</v>
      </c>
    </row>
    <row r="143" spans="1:15" x14ac:dyDescent="0.25">
      <c r="A143" s="3">
        <v>23993</v>
      </c>
      <c r="B143" s="3" t="s">
        <v>37</v>
      </c>
      <c r="C143" s="3" t="s">
        <v>39</v>
      </c>
      <c r="D143" s="4">
        <v>10000</v>
      </c>
      <c r="E143" s="3">
        <v>0</v>
      </c>
      <c r="F143" s="3" t="s">
        <v>19</v>
      </c>
      <c r="G143" s="3" t="s">
        <v>25</v>
      </c>
      <c r="H143" s="3" t="s">
        <v>18</v>
      </c>
      <c r="I143" s="3">
        <v>1</v>
      </c>
      <c r="J143" s="3" t="s">
        <v>16</v>
      </c>
      <c r="K143" s="3" t="s">
        <v>24</v>
      </c>
      <c r="L143" s="3">
        <v>26</v>
      </c>
      <c r="M143" s="3" t="s">
        <v>53</v>
      </c>
      <c r="N143" s="3" t="s">
        <v>49</v>
      </c>
      <c r="O143" s="3" t="s">
        <v>15</v>
      </c>
    </row>
    <row r="144" spans="1:15" x14ac:dyDescent="0.25">
      <c r="A144" s="3">
        <v>14832</v>
      </c>
      <c r="B144" s="3" t="s">
        <v>36</v>
      </c>
      <c r="C144" s="3" t="s">
        <v>38</v>
      </c>
      <c r="D144" s="4">
        <v>40000</v>
      </c>
      <c r="E144" s="3">
        <v>1</v>
      </c>
      <c r="F144" s="3" t="s">
        <v>13</v>
      </c>
      <c r="G144" s="3" t="s">
        <v>14</v>
      </c>
      <c r="H144" s="3" t="s">
        <v>15</v>
      </c>
      <c r="I144" s="3">
        <v>0</v>
      </c>
      <c r="J144" s="3" t="s">
        <v>16</v>
      </c>
      <c r="K144" s="3" t="s">
        <v>17</v>
      </c>
      <c r="L144" s="3">
        <v>42</v>
      </c>
      <c r="M144" s="3" t="s">
        <v>53</v>
      </c>
      <c r="N144" s="3" t="s">
        <v>49</v>
      </c>
      <c r="O144" s="3" t="s">
        <v>15</v>
      </c>
    </row>
    <row r="145" spans="1:15" x14ac:dyDescent="0.25">
      <c r="A145" s="3">
        <v>16614</v>
      </c>
      <c r="B145" s="3" t="s">
        <v>36</v>
      </c>
      <c r="C145" s="3" t="s">
        <v>39</v>
      </c>
      <c r="D145" s="4">
        <v>80000</v>
      </c>
      <c r="E145" s="3">
        <v>0</v>
      </c>
      <c r="F145" s="3" t="s">
        <v>13</v>
      </c>
      <c r="G145" s="3" t="s">
        <v>21</v>
      </c>
      <c r="H145" s="3" t="s">
        <v>15</v>
      </c>
      <c r="I145" s="3">
        <v>3</v>
      </c>
      <c r="J145" s="3" t="s">
        <v>46</v>
      </c>
      <c r="K145" s="3" t="s">
        <v>24</v>
      </c>
      <c r="L145" s="3">
        <v>32</v>
      </c>
      <c r="M145" s="3" t="s">
        <v>53</v>
      </c>
      <c r="N145" s="3" t="s">
        <v>49</v>
      </c>
      <c r="O145" s="3" t="s">
        <v>18</v>
      </c>
    </row>
    <row r="146" spans="1:15" x14ac:dyDescent="0.25">
      <c r="A146" s="3">
        <v>20877</v>
      </c>
      <c r="B146" s="3" t="s">
        <v>37</v>
      </c>
      <c r="C146" s="3" t="s">
        <v>38</v>
      </c>
      <c r="D146" s="4">
        <v>30000</v>
      </c>
      <c r="E146" s="3">
        <v>1</v>
      </c>
      <c r="F146" s="3" t="s">
        <v>13</v>
      </c>
      <c r="G146" s="3" t="s">
        <v>20</v>
      </c>
      <c r="H146" s="3" t="s">
        <v>15</v>
      </c>
      <c r="I146" s="3">
        <v>0</v>
      </c>
      <c r="J146" s="3" t="s">
        <v>26</v>
      </c>
      <c r="K146" s="3" t="s">
        <v>17</v>
      </c>
      <c r="L146" s="3">
        <v>37</v>
      </c>
      <c r="M146" s="3" t="s">
        <v>53</v>
      </c>
      <c r="N146" s="3" t="s">
        <v>49</v>
      </c>
      <c r="O146" s="3" t="s">
        <v>15</v>
      </c>
    </row>
    <row r="147" spans="1:15" x14ac:dyDescent="0.25">
      <c r="A147" s="3">
        <v>20729</v>
      </c>
      <c r="B147" s="3" t="s">
        <v>36</v>
      </c>
      <c r="C147" s="3" t="s">
        <v>39</v>
      </c>
      <c r="D147" s="4">
        <v>40000</v>
      </c>
      <c r="E147" s="3">
        <v>2</v>
      </c>
      <c r="F147" s="3" t="s">
        <v>19</v>
      </c>
      <c r="G147" s="3" t="s">
        <v>20</v>
      </c>
      <c r="H147" s="3" t="s">
        <v>18</v>
      </c>
      <c r="I147" s="3">
        <v>1</v>
      </c>
      <c r="J147" s="3" t="s">
        <v>16</v>
      </c>
      <c r="K147" s="3" t="s">
        <v>17</v>
      </c>
      <c r="L147" s="3">
        <v>34</v>
      </c>
      <c r="M147" s="3" t="s">
        <v>53</v>
      </c>
      <c r="N147" s="3" t="s">
        <v>49</v>
      </c>
      <c r="O147" s="3" t="s">
        <v>18</v>
      </c>
    </row>
    <row r="148" spans="1:15" x14ac:dyDescent="0.25">
      <c r="A148" s="3">
        <v>22464</v>
      </c>
      <c r="B148" s="3" t="s">
        <v>36</v>
      </c>
      <c r="C148" s="3" t="s">
        <v>38</v>
      </c>
      <c r="D148" s="4">
        <v>40000</v>
      </c>
      <c r="E148" s="3">
        <v>0</v>
      </c>
      <c r="F148" s="3" t="s">
        <v>31</v>
      </c>
      <c r="G148" s="3" t="s">
        <v>20</v>
      </c>
      <c r="H148" s="3" t="s">
        <v>15</v>
      </c>
      <c r="I148" s="3">
        <v>0</v>
      </c>
      <c r="J148" s="3" t="s">
        <v>16</v>
      </c>
      <c r="K148" s="3" t="s">
        <v>17</v>
      </c>
      <c r="L148" s="3">
        <v>37</v>
      </c>
      <c r="M148" s="3" t="s">
        <v>53</v>
      </c>
      <c r="N148" s="3" t="s">
        <v>49</v>
      </c>
      <c r="O148" s="3" t="s">
        <v>15</v>
      </c>
    </row>
    <row r="149" spans="1:15" x14ac:dyDescent="0.25">
      <c r="A149" s="3">
        <v>19475</v>
      </c>
      <c r="B149" s="3" t="s">
        <v>36</v>
      </c>
      <c r="C149" s="3" t="s">
        <v>39</v>
      </c>
      <c r="D149" s="4">
        <v>40000</v>
      </c>
      <c r="E149" s="3">
        <v>0</v>
      </c>
      <c r="F149" s="3" t="s">
        <v>13</v>
      </c>
      <c r="G149" s="3" t="s">
        <v>21</v>
      </c>
      <c r="H149" s="3" t="s">
        <v>18</v>
      </c>
      <c r="I149" s="3">
        <v>0</v>
      </c>
      <c r="J149" s="3" t="s">
        <v>16</v>
      </c>
      <c r="K149" s="3" t="s">
        <v>17</v>
      </c>
      <c r="L149" s="3">
        <v>40</v>
      </c>
      <c r="M149" s="3" t="s">
        <v>53</v>
      </c>
      <c r="N149" s="3" t="s">
        <v>49</v>
      </c>
      <c r="O149" s="3" t="s">
        <v>15</v>
      </c>
    </row>
    <row r="150" spans="1:15" x14ac:dyDescent="0.25">
      <c r="A150" s="3">
        <v>19675</v>
      </c>
      <c r="B150" s="3" t="s">
        <v>36</v>
      </c>
      <c r="C150" s="3" t="s">
        <v>38</v>
      </c>
      <c r="D150" s="4">
        <v>20000</v>
      </c>
      <c r="E150" s="3">
        <v>4</v>
      </c>
      <c r="F150" s="3" t="s">
        <v>27</v>
      </c>
      <c r="G150" s="3" t="s">
        <v>14</v>
      </c>
      <c r="H150" s="3" t="s">
        <v>15</v>
      </c>
      <c r="I150" s="3">
        <v>2</v>
      </c>
      <c r="J150" s="3" t="s">
        <v>23</v>
      </c>
      <c r="K150" s="3" t="s">
        <v>24</v>
      </c>
      <c r="L150" s="3">
        <v>60</v>
      </c>
      <c r="M150" s="3" t="s">
        <v>54</v>
      </c>
      <c r="N150" s="3" t="s">
        <v>50</v>
      </c>
      <c r="O150" s="3" t="s">
        <v>18</v>
      </c>
    </row>
    <row r="151" spans="1:15" x14ac:dyDescent="0.25">
      <c r="A151" s="3">
        <v>12728</v>
      </c>
      <c r="B151" s="3" t="s">
        <v>37</v>
      </c>
      <c r="C151" s="3" t="s">
        <v>38</v>
      </c>
      <c r="D151" s="4">
        <v>30000</v>
      </c>
      <c r="E151" s="3">
        <v>0</v>
      </c>
      <c r="F151" s="3" t="s">
        <v>19</v>
      </c>
      <c r="G151" s="3" t="s">
        <v>20</v>
      </c>
      <c r="H151" s="3" t="s">
        <v>18</v>
      </c>
      <c r="I151" s="3">
        <v>1</v>
      </c>
      <c r="J151" s="3" t="s">
        <v>26</v>
      </c>
      <c r="K151" s="3" t="s">
        <v>17</v>
      </c>
      <c r="L151" s="3">
        <v>27</v>
      </c>
      <c r="M151" s="3" t="s">
        <v>53</v>
      </c>
      <c r="N151" s="3" t="s">
        <v>49</v>
      </c>
      <c r="O151" s="3" t="s">
        <v>18</v>
      </c>
    </row>
    <row r="152" spans="1:15" x14ac:dyDescent="0.25">
      <c r="A152" s="3">
        <v>26154</v>
      </c>
      <c r="B152" s="3" t="s">
        <v>36</v>
      </c>
      <c r="C152" s="3" t="s">
        <v>38</v>
      </c>
      <c r="D152" s="4">
        <v>60000</v>
      </c>
      <c r="E152" s="3">
        <v>1</v>
      </c>
      <c r="F152" s="3" t="s">
        <v>19</v>
      </c>
      <c r="G152" s="3" t="s">
        <v>14</v>
      </c>
      <c r="H152" s="3" t="s">
        <v>15</v>
      </c>
      <c r="I152" s="3">
        <v>1</v>
      </c>
      <c r="J152" s="3" t="s">
        <v>23</v>
      </c>
      <c r="K152" s="3" t="s">
        <v>24</v>
      </c>
      <c r="L152" s="3">
        <v>43</v>
      </c>
      <c r="M152" s="3" t="s">
        <v>53</v>
      </c>
      <c r="N152" s="3" t="s">
        <v>49</v>
      </c>
      <c r="O152" s="3" t="s">
        <v>15</v>
      </c>
    </row>
    <row r="153" spans="1:15" x14ac:dyDescent="0.25">
      <c r="A153" s="3">
        <v>29117</v>
      </c>
      <c r="B153" s="3" t="s">
        <v>37</v>
      </c>
      <c r="C153" s="3" t="s">
        <v>38</v>
      </c>
      <c r="D153" s="4">
        <v>100000</v>
      </c>
      <c r="E153" s="3">
        <v>1</v>
      </c>
      <c r="F153" s="3" t="s">
        <v>13</v>
      </c>
      <c r="G153" s="3" t="s">
        <v>28</v>
      </c>
      <c r="H153" s="3" t="s">
        <v>18</v>
      </c>
      <c r="I153" s="3">
        <v>3</v>
      </c>
      <c r="J153" s="3" t="s">
        <v>16</v>
      </c>
      <c r="K153" s="3" t="s">
        <v>24</v>
      </c>
      <c r="L153" s="3">
        <v>48</v>
      </c>
      <c r="M153" s="3" t="s">
        <v>51</v>
      </c>
      <c r="N153" s="3" t="s">
        <v>48</v>
      </c>
      <c r="O153" s="3" t="s">
        <v>18</v>
      </c>
    </row>
    <row r="154" spans="1:15" x14ac:dyDescent="0.25">
      <c r="A154" s="3">
        <v>17845</v>
      </c>
      <c r="B154" s="3" t="s">
        <v>37</v>
      </c>
      <c r="C154" s="3" t="s">
        <v>39</v>
      </c>
      <c r="D154" s="4">
        <v>20000</v>
      </c>
      <c r="E154" s="3">
        <v>0</v>
      </c>
      <c r="F154" s="3" t="s">
        <v>29</v>
      </c>
      <c r="G154" s="3" t="s">
        <v>25</v>
      </c>
      <c r="H154" s="3" t="s">
        <v>18</v>
      </c>
      <c r="I154" s="3">
        <v>2</v>
      </c>
      <c r="J154" s="3" t="s">
        <v>26</v>
      </c>
      <c r="K154" s="3" t="s">
        <v>17</v>
      </c>
      <c r="L154" s="3">
        <v>32</v>
      </c>
      <c r="M154" s="3" t="s">
        <v>53</v>
      </c>
      <c r="N154" s="3" t="s">
        <v>49</v>
      </c>
      <c r="O154" s="3" t="s">
        <v>18</v>
      </c>
    </row>
    <row r="155" spans="1:15" x14ac:dyDescent="0.25">
      <c r="A155" s="3">
        <v>25058</v>
      </c>
      <c r="B155" s="3" t="s">
        <v>36</v>
      </c>
      <c r="C155" s="3" t="s">
        <v>38</v>
      </c>
      <c r="D155" s="4">
        <v>100000</v>
      </c>
      <c r="E155" s="3">
        <v>1</v>
      </c>
      <c r="F155" s="3" t="s">
        <v>13</v>
      </c>
      <c r="G155" s="3" t="s">
        <v>28</v>
      </c>
      <c r="H155" s="3" t="s">
        <v>15</v>
      </c>
      <c r="I155" s="3">
        <v>3</v>
      </c>
      <c r="J155" s="3" t="s">
        <v>22</v>
      </c>
      <c r="K155" s="3" t="s">
        <v>24</v>
      </c>
      <c r="L155" s="3">
        <v>47</v>
      </c>
      <c r="M155" s="3" t="s">
        <v>51</v>
      </c>
      <c r="N155" s="3" t="s">
        <v>48</v>
      </c>
      <c r="O155" s="3" t="s">
        <v>18</v>
      </c>
    </row>
    <row r="156" spans="1:15" x14ac:dyDescent="0.25">
      <c r="A156" s="3">
        <v>23426</v>
      </c>
      <c r="B156" s="3" t="s">
        <v>37</v>
      </c>
      <c r="C156" s="3" t="s">
        <v>38</v>
      </c>
      <c r="D156" s="4">
        <v>80000</v>
      </c>
      <c r="E156" s="3">
        <v>5</v>
      </c>
      <c r="F156" s="3" t="s">
        <v>31</v>
      </c>
      <c r="G156" s="3" t="s">
        <v>28</v>
      </c>
      <c r="H156" s="3" t="s">
        <v>15</v>
      </c>
      <c r="I156" s="3">
        <v>3</v>
      </c>
      <c r="J156" s="3" t="s">
        <v>16</v>
      </c>
      <c r="K156" s="3" t="s">
        <v>24</v>
      </c>
      <c r="L156" s="3">
        <v>40</v>
      </c>
      <c r="M156" s="3" t="s">
        <v>53</v>
      </c>
      <c r="N156" s="3" t="s">
        <v>49</v>
      </c>
      <c r="O156" s="3" t="s">
        <v>18</v>
      </c>
    </row>
    <row r="157" spans="1:15" x14ac:dyDescent="0.25">
      <c r="A157" s="3">
        <v>14798</v>
      </c>
      <c r="B157" s="3" t="s">
        <v>37</v>
      </c>
      <c r="C157" s="3" t="s">
        <v>39</v>
      </c>
      <c r="D157" s="4">
        <v>10000</v>
      </c>
      <c r="E157" s="3">
        <v>4</v>
      </c>
      <c r="F157" s="3" t="s">
        <v>29</v>
      </c>
      <c r="G157" s="3" t="s">
        <v>25</v>
      </c>
      <c r="H157" s="3" t="s">
        <v>15</v>
      </c>
      <c r="I157" s="3">
        <v>2</v>
      </c>
      <c r="J157" s="3" t="s">
        <v>16</v>
      </c>
      <c r="K157" s="3" t="s">
        <v>17</v>
      </c>
      <c r="L157" s="3">
        <v>41</v>
      </c>
      <c r="M157" s="3" t="s">
        <v>53</v>
      </c>
      <c r="N157" s="3" t="s">
        <v>49</v>
      </c>
      <c r="O157" s="3" t="s">
        <v>15</v>
      </c>
    </row>
    <row r="158" spans="1:15" x14ac:dyDescent="0.25">
      <c r="A158" s="3">
        <v>12664</v>
      </c>
      <c r="B158" s="3" t="s">
        <v>36</v>
      </c>
      <c r="C158" s="3" t="s">
        <v>39</v>
      </c>
      <c r="D158" s="4">
        <v>130000</v>
      </c>
      <c r="E158" s="3">
        <v>5</v>
      </c>
      <c r="F158" s="3" t="s">
        <v>19</v>
      </c>
      <c r="G158" s="3" t="s">
        <v>21</v>
      </c>
      <c r="H158" s="3" t="s">
        <v>15</v>
      </c>
      <c r="I158" s="3">
        <v>4</v>
      </c>
      <c r="J158" s="3" t="s">
        <v>16</v>
      </c>
      <c r="K158" s="3" t="s">
        <v>17</v>
      </c>
      <c r="L158" s="3">
        <v>59</v>
      </c>
      <c r="M158" s="3" t="s">
        <v>54</v>
      </c>
      <c r="N158" s="3" t="s">
        <v>50</v>
      </c>
      <c r="O158" s="3" t="s">
        <v>18</v>
      </c>
    </row>
    <row r="159" spans="1:15" x14ac:dyDescent="0.25">
      <c r="A159" s="3">
        <v>23979</v>
      </c>
      <c r="B159" s="3" t="s">
        <v>37</v>
      </c>
      <c r="C159" s="3" t="s">
        <v>38</v>
      </c>
      <c r="D159" s="4">
        <v>10000</v>
      </c>
      <c r="E159" s="3">
        <v>2</v>
      </c>
      <c r="F159" s="3" t="s">
        <v>19</v>
      </c>
      <c r="G159" s="3" t="s">
        <v>25</v>
      </c>
      <c r="H159" s="3" t="s">
        <v>18</v>
      </c>
      <c r="I159" s="3">
        <v>0</v>
      </c>
      <c r="J159" s="3" t="s">
        <v>16</v>
      </c>
      <c r="K159" s="3" t="s">
        <v>17</v>
      </c>
      <c r="L159" s="3">
        <v>50</v>
      </c>
      <c r="M159" s="3" t="s">
        <v>51</v>
      </c>
      <c r="N159" s="3" t="s">
        <v>48</v>
      </c>
      <c r="O159" s="3" t="s">
        <v>18</v>
      </c>
    </row>
    <row r="160" spans="1:15" x14ac:dyDescent="0.25">
      <c r="A160" s="3">
        <v>25605</v>
      </c>
      <c r="B160" s="3" t="s">
        <v>37</v>
      </c>
      <c r="C160" s="3" t="s">
        <v>39</v>
      </c>
      <c r="D160" s="4">
        <v>20000</v>
      </c>
      <c r="E160" s="3">
        <v>2</v>
      </c>
      <c r="F160" s="3" t="s">
        <v>19</v>
      </c>
      <c r="G160" s="3" t="s">
        <v>25</v>
      </c>
      <c r="H160" s="3" t="s">
        <v>18</v>
      </c>
      <c r="I160" s="3">
        <v>1</v>
      </c>
      <c r="J160" s="3" t="s">
        <v>16</v>
      </c>
      <c r="K160" s="3" t="s">
        <v>17</v>
      </c>
      <c r="L160" s="3">
        <v>54</v>
      </c>
      <c r="M160" s="3" t="s">
        <v>51</v>
      </c>
      <c r="N160" s="3" t="s">
        <v>48</v>
      </c>
      <c r="O160" s="3" t="s">
        <v>15</v>
      </c>
    </row>
    <row r="161" spans="1:15" x14ac:dyDescent="0.25">
      <c r="A161" s="3">
        <v>20797</v>
      </c>
      <c r="B161" s="3" t="s">
        <v>36</v>
      </c>
      <c r="C161" s="3" t="s">
        <v>39</v>
      </c>
      <c r="D161" s="4">
        <v>10000</v>
      </c>
      <c r="E161" s="3">
        <v>1</v>
      </c>
      <c r="F161" s="3" t="s">
        <v>13</v>
      </c>
      <c r="G161" s="3" t="s">
        <v>25</v>
      </c>
      <c r="H161" s="3" t="s">
        <v>15</v>
      </c>
      <c r="I161" s="3">
        <v>0</v>
      </c>
      <c r="J161" s="3" t="s">
        <v>16</v>
      </c>
      <c r="K161" s="3" t="s">
        <v>17</v>
      </c>
      <c r="L161" s="3">
        <v>48</v>
      </c>
      <c r="M161" s="3" t="s">
        <v>51</v>
      </c>
      <c r="N161" s="3" t="s">
        <v>48</v>
      </c>
      <c r="O161" s="3" t="s">
        <v>18</v>
      </c>
    </row>
    <row r="162" spans="1:15" x14ac:dyDescent="0.25">
      <c r="A162" s="3">
        <v>21980</v>
      </c>
      <c r="B162" s="3" t="s">
        <v>37</v>
      </c>
      <c r="C162" s="3" t="s">
        <v>39</v>
      </c>
      <c r="D162" s="4">
        <v>60000</v>
      </c>
      <c r="E162" s="3">
        <v>1</v>
      </c>
      <c r="F162" s="3" t="s">
        <v>13</v>
      </c>
      <c r="G162" s="3" t="s">
        <v>21</v>
      </c>
      <c r="H162" s="3" t="s">
        <v>15</v>
      </c>
      <c r="I162" s="3">
        <v>1</v>
      </c>
      <c r="J162" s="3" t="s">
        <v>23</v>
      </c>
      <c r="K162" s="3" t="s">
        <v>24</v>
      </c>
      <c r="L162" s="3">
        <v>44</v>
      </c>
      <c r="M162" s="3" t="s">
        <v>53</v>
      </c>
      <c r="N162" s="3" t="s">
        <v>49</v>
      </c>
      <c r="O162" s="3" t="s">
        <v>15</v>
      </c>
    </row>
    <row r="163" spans="1:15" x14ac:dyDescent="0.25">
      <c r="A163" s="3">
        <v>25460</v>
      </c>
      <c r="B163" s="3" t="s">
        <v>36</v>
      </c>
      <c r="C163" s="3" t="s">
        <v>39</v>
      </c>
      <c r="D163" s="4">
        <v>20000</v>
      </c>
      <c r="E163" s="3">
        <v>2</v>
      </c>
      <c r="F163" s="3" t="s">
        <v>27</v>
      </c>
      <c r="G163" s="3" t="s">
        <v>25</v>
      </c>
      <c r="H163" s="3" t="s">
        <v>15</v>
      </c>
      <c r="I163" s="3">
        <v>0</v>
      </c>
      <c r="J163" s="3" t="s">
        <v>16</v>
      </c>
      <c r="K163" s="3" t="s">
        <v>17</v>
      </c>
      <c r="L163" s="3">
        <v>40</v>
      </c>
      <c r="M163" s="3" t="s">
        <v>53</v>
      </c>
      <c r="N163" s="3" t="s">
        <v>49</v>
      </c>
      <c r="O163" s="3" t="s">
        <v>15</v>
      </c>
    </row>
    <row r="164" spans="1:15" x14ac:dyDescent="0.25">
      <c r="A164" s="3">
        <v>29181</v>
      </c>
      <c r="B164" s="3" t="s">
        <v>37</v>
      </c>
      <c r="C164" s="3" t="s">
        <v>39</v>
      </c>
      <c r="D164" s="4">
        <v>60000</v>
      </c>
      <c r="E164" s="3">
        <v>2</v>
      </c>
      <c r="F164" s="3" t="s">
        <v>13</v>
      </c>
      <c r="G164" s="3" t="s">
        <v>21</v>
      </c>
      <c r="H164" s="3" t="s">
        <v>18</v>
      </c>
      <c r="I164" s="3">
        <v>1</v>
      </c>
      <c r="J164" s="3" t="s">
        <v>16</v>
      </c>
      <c r="K164" s="3" t="s">
        <v>24</v>
      </c>
      <c r="L164" s="3">
        <v>38</v>
      </c>
      <c r="M164" s="3" t="s">
        <v>53</v>
      </c>
      <c r="N164" s="3" t="s">
        <v>49</v>
      </c>
      <c r="O164" s="3" t="s">
        <v>15</v>
      </c>
    </row>
    <row r="165" spans="1:15" x14ac:dyDescent="0.25">
      <c r="A165" s="3">
        <v>24279</v>
      </c>
      <c r="B165" s="3" t="s">
        <v>37</v>
      </c>
      <c r="C165" s="3" t="s">
        <v>38</v>
      </c>
      <c r="D165" s="4">
        <v>40000</v>
      </c>
      <c r="E165" s="3">
        <v>2</v>
      </c>
      <c r="F165" s="3" t="s">
        <v>19</v>
      </c>
      <c r="G165" s="3" t="s">
        <v>14</v>
      </c>
      <c r="H165" s="3" t="s">
        <v>18</v>
      </c>
      <c r="I165" s="3">
        <v>2</v>
      </c>
      <c r="J165" s="3" t="s">
        <v>26</v>
      </c>
      <c r="K165" s="3" t="s">
        <v>24</v>
      </c>
      <c r="L165" s="3">
        <v>52</v>
      </c>
      <c r="M165" s="3" t="s">
        <v>51</v>
      </c>
      <c r="N165" s="3" t="s">
        <v>48</v>
      </c>
      <c r="O165" s="3" t="s">
        <v>18</v>
      </c>
    </row>
    <row r="166" spans="1:15" x14ac:dyDescent="0.25">
      <c r="A166" s="3">
        <v>22402</v>
      </c>
      <c r="B166" s="3" t="s">
        <v>36</v>
      </c>
      <c r="C166" s="3" t="s">
        <v>38</v>
      </c>
      <c r="D166" s="4">
        <v>10000</v>
      </c>
      <c r="E166" s="3">
        <v>0</v>
      </c>
      <c r="F166" s="3" t="s">
        <v>19</v>
      </c>
      <c r="G166" s="3" t="s">
        <v>25</v>
      </c>
      <c r="H166" s="3" t="s">
        <v>15</v>
      </c>
      <c r="I166" s="3">
        <v>1</v>
      </c>
      <c r="J166" s="3" t="s">
        <v>22</v>
      </c>
      <c r="K166" s="3" t="s">
        <v>24</v>
      </c>
      <c r="L166" s="3">
        <v>25</v>
      </c>
      <c r="M166" s="3" t="s">
        <v>53</v>
      </c>
      <c r="N166" s="3" t="s">
        <v>49</v>
      </c>
      <c r="O166" s="3" t="s">
        <v>15</v>
      </c>
    </row>
    <row r="167" spans="1:15" x14ac:dyDescent="0.25">
      <c r="A167" s="3">
        <v>15465</v>
      </c>
      <c r="B167" s="3" t="s">
        <v>36</v>
      </c>
      <c r="C167" s="3" t="s">
        <v>39</v>
      </c>
      <c r="D167" s="4">
        <v>10000</v>
      </c>
      <c r="E167" s="3">
        <v>0</v>
      </c>
      <c r="F167" s="3" t="s">
        <v>19</v>
      </c>
      <c r="G167" s="3" t="s">
        <v>25</v>
      </c>
      <c r="H167" s="3" t="s">
        <v>18</v>
      </c>
      <c r="I167" s="3">
        <v>1</v>
      </c>
      <c r="J167" s="3" t="s">
        <v>16</v>
      </c>
      <c r="K167" s="3" t="s">
        <v>24</v>
      </c>
      <c r="L167" s="3">
        <v>25</v>
      </c>
      <c r="M167" s="3" t="s">
        <v>53</v>
      </c>
      <c r="N167" s="3" t="s">
        <v>49</v>
      </c>
      <c r="O167" s="3" t="s">
        <v>18</v>
      </c>
    </row>
    <row r="168" spans="1:15" x14ac:dyDescent="0.25">
      <c r="A168" s="3">
        <v>26757</v>
      </c>
      <c r="B168" s="3" t="s">
        <v>37</v>
      </c>
      <c r="C168" s="3" t="s">
        <v>38</v>
      </c>
      <c r="D168" s="4">
        <v>90000</v>
      </c>
      <c r="E168" s="3">
        <v>1</v>
      </c>
      <c r="F168" s="3" t="s">
        <v>13</v>
      </c>
      <c r="G168" s="3" t="s">
        <v>21</v>
      </c>
      <c r="H168" s="3" t="s">
        <v>15</v>
      </c>
      <c r="I168" s="3">
        <v>1</v>
      </c>
      <c r="J168" s="3" t="s">
        <v>22</v>
      </c>
      <c r="K168" s="3" t="s">
        <v>24</v>
      </c>
      <c r="L168" s="3">
        <v>47</v>
      </c>
      <c r="M168" s="3" t="s">
        <v>51</v>
      </c>
      <c r="N168" s="3" t="s">
        <v>48</v>
      </c>
      <c r="O168" s="3" t="s">
        <v>15</v>
      </c>
    </row>
    <row r="169" spans="1:15" x14ac:dyDescent="0.25">
      <c r="A169" s="3">
        <v>14233</v>
      </c>
      <c r="B169" s="3" t="s">
        <v>37</v>
      </c>
      <c r="C169" s="3" t="s">
        <v>38</v>
      </c>
      <c r="D169" s="4">
        <v>100000</v>
      </c>
      <c r="E169" s="3">
        <v>0</v>
      </c>
      <c r="F169" s="3" t="s">
        <v>27</v>
      </c>
      <c r="G169" s="3" t="s">
        <v>28</v>
      </c>
      <c r="H169" s="3" t="s">
        <v>15</v>
      </c>
      <c r="I169" s="3">
        <v>3</v>
      </c>
      <c r="J169" s="3" t="s">
        <v>46</v>
      </c>
      <c r="K169" s="3" t="s">
        <v>24</v>
      </c>
      <c r="L169" s="3">
        <v>35</v>
      </c>
      <c r="M169" s="3" t="s">
        <v>53</v>
      </c>
      <c r="N169" s="3" t="s">
        <v>49</v>
      </c>
      <c r="O169" s="3" t="s">
        <v>18</v>
      </c>
    </row>
    <row r="170" spans="1:15" x14ac:dyDescent="0.25">
      <c r="A170" s="3">
        <v>14058</v>
      </c>
      <c r="B170" s="3" t="s">
        <v>37</v>
      </c>
      <c r="C170" s="3" t="s">
        <v>38</v>
      </c>
      <c r="D170" s="4">
        <v>70000</v>
      </c>
      <c r="E170" s="3">
        <v>0</v>
      </c>
      <c r="F170" s="3" t="s">
        <v>13</v>
      </c>
      <c r="G170" s="3" t="s">
        <v>21</v>
      </c>
      <c r="H170" s="3" t="s">
        <v>18</v>
      </c>
      <c r="I170" s="3">
        <v>1</v>
      </c>
      <c r="J170" s="3" t="s">
        <v>23</v>
      </c>
      <c r="K170" s="3" t="s">
        <v>24</v>
      </c>
      <c r="L170" s="3">
        <v>41</v>
      </c>
      <c r="M170" s="3" t="s">
        <v>53</v>
      </c>
      <c r="N170" s="3" t="s">
        <v>49</v>
      </c>
      <c r="O170" s="3" t="s">
        <v>15</v>
      </c>
    </row>
    <row r="171" spans="1:15" x14ac:dyDescent="0.25">
      <c r="A171" s="3">
        <v>12273</v>
      </c>
      <c r="B171" s="3" t="s">
        <v>36</v>
      </c>
      <c r="C171" s="3" t="s">
        <v>38</v>
      </c>
      <c r="D171" s="4">
        <v>30000</v>
      </c>
      <c r="E171" s="3">
        <v>1</v>
      </c>
      <c r="F171" s="3" t="s">
        <v>13</v>
      </c>
      <c r="G171" s="3" t="s">
        <v>20</v>
      </c>
      <c r="H171" s="3" t="s">
        <v>15</v>
      </c>
      <c r="I171" s="3">
        <v>0</v>
      </c>
      <c r="J171" s="3" t="s">
        <v>16</v>
      </c>
      <c r="K171" s="3" t="s">
        <v>17</v>
      </c>
      <c r="L171" s="3">
        <v>47</v>
      </c>
      <c r="M171" s="3" t="s">
        <v>51</v>
      </c>
      <c r="N171" s="3" t="s">
        <v>48</v>
      </c>
      <c r="O171" s="3" t="s">
        <v>18</v>
      </c>
    </row>
    <row r="172" spans="1:15" x14ac:dyDescent="0.25">
      <c r="A172" s="3">
        <v>17203</v>
      </c>
      <c r="B172" s="3" t="s">
        <v>36</v>
      </c>
      <c r="C172" s="3" t="s">
        <v>39</v>
      </c>
      <c r="D172" s="4">
        <v>130000</v>
      </c>
      <c r="E172" s="3">
        <v>4</v>
      </c>
      <c r="F172" s="3" t="s">
        <v>19</v>
      </c>
      <c r="G172" s="3" t="s">
        <v>21</v>
      </c>
      <c r="H172" s="3" t="s">
        <v>15</v>
      </c>
      <c r="I172" s="3">
        <v>4</v>
      </c>
      <c r="J172" s="3" t="s">
        <v>23</v>
      </c>
      <c r="K172" s="3" t="s">
        <v>17</v>
      </c>
      <c r="L172" s="3">
        <v>61</v>
      </c>
      <c r="M172" s="3" t="s">
        <v>54</v>
      </c>
      <c r="N172" s="3" t="s">
        <v>50</v>
      </c>
      <c r="O172" s="3" t="s">
        <v>15</v>
      </c>
    </row>
    <row r="173" spans="1:15" x14ac:dyDescent="0.25">
      <c r="A173" s="3">
        <v>18144</v>
      </c>
      <c r="B173" s="3" t="s">
        <v>36</v>
      </c>
      <c r="C173" s="3" t="s">
        <v>39</v>
      </c>
      <c r="D173" s="4">
        <v>80000</v>
      </c>
      <c r="E173" s="3">
        <v>5</v>
      </c>
      <c r="F173" s="3" t="s">
        <v>13</v>
      </c>
      <c r="G173" s="3" t="s">
        <v>28</v>
      </c>
      <c r="H173" s="3" t="s">
        <v>15</v>
      </c>
      <c r="I173" s="3">
        <v>2</v>
      </c>
      <c r="J173" s="3" t="s">
        <v>22</v>
      </c>
      <c r="K173" s="3" t="s">
        <v>17</v>
      </c>
      <c r="L173" s="3">
        <v>61</v>
      </c>
      <c r="M173" s="3" t="s">
        <v>54</v>
      </c>
      <c r="N173" s="3" t="s">
        <v>50</v>
      </c>
      <c r="O173" s="3" t="s">
        <v>18</v>
      </c>
    </row>
    <row r="174" spans="1:15" x14ac:dyDescent="0.25">
      <c r="A174" s="3">
        <v>23963</v>
      </c>
      <c r="B174" s="3" t="s">
        <v>36</v>
      </c>
      <c r="C174" s="3" t="s">
        <v>38</v>
      </c>
      <c r="D174" s="4">
        <v>10000</v>
      </c>
      <c r="E174" s="3">
        <v>0</v>
      </c>
      <c r="F174" s="3" t="s">
        <v>29</v>
      </c>
      <c r="G174" s="3" t="s">
        <v>25</v>
      </c>
      <c r="H174" s="3" t="s">
        <v>18</v>
      </c>
      <c r="I174" s="3">
        <v>2</v>
      </c>
      <c r="J174" s="3" t="s">
        <v>16</v>
      </c>
      <c r="K174" s="3" t="s">
        <v>17</v>
      </c>
      <c r="L174" s="3">
        <v>33</v>
      </c>
      <c r="M174" s="3" t="s">
        <v>53</v>
      </c>
      <c r="N174" s="3" t="s">
        <v>49</v>
      </c>
      <c r="O174" s="3" t="s">
        <v>18</v>
      </c>
    </row>
    <row r="175" spans="1:15" x14ac:dyDescent="0.25">
      <c r="A175" s="3">
        <v>17907</v>
      </c>
      <c r="B175" s="3" t="s">
        <v>36</v>
      </c>
      <c r="C175" s="3" t="s">
        <v>39</v>
      </c>
      <c r="D175" s="4">
        <v>10000</v>
      </c>
      <c r="E175" s="3">
        <v>0</v>
      </c>
      <c r="F175" s="3" t="s">
        <v>19</v>
      </c>
      <c r="G175" s="3" t="s">
        <v>25</v>
      </c>
      <c r="H175" s="3" t="s">
        <v>15</v>
      </c>
      <c r="I175" s="3">
        <v>1</v>
      </c>
      <c r="J175" s="3" t="s">
        <v>22</v>
      </c>
      <c r="K175" s="3" t="s">
        <v>24</v>
      </c>
      <c r="L175" s="3">
        <v>27</v>
      </c>
      <c r="M175" s="3" t="s">
        <v>53</v>
      </c>
      <c r="N175" s="3" t="s">
        <v>49</v>
      </c>
      <c r="O175" s="3" t="s">
        <v>18</v>
      </c>
    </row>
    <row r="176" spans="1:15" x14ac:dyDescent="0.25">
      <c r="A176" s="3">
        <v>19442</v>
      </c>
      <c r="B176" s="3" t="s">
        <v>37</v>
      </c>
      <c r="C176" s="3" t="s">
        <v>38</v>
      </c>
      <c r="D176" s="4">
        <v>50000</v>
      </c>
      <c r="E176" s="3">
        <v>0</v>
      </c>
      <c r="F176" s="3" t="s">
        <v>31</v>
      </c>
      <c r="G176" s="3" t="s">
        <v>14</v>
      </c>
      <c r="H176" s="3" t="s">
        <v>15</v>
      </c>
      <c r="I176" s="3">
        <v>0</v>
      </c>
      <c r="J176" s="3" t="s">
        <v>16</v>
      </c>
      <c r="K176" s="3" t="s">
        <v>17</v>
      </c>
      <c r="L176" s="3">
        <v>37</v>
      </c>
      <c r="M176" s="3" t="s">
        <v>53</v>
      </c>
      <c r="N176" s="3" t="s">
        <v>49</v>
      </c>
      <c r="O176" s="3" t="s">
        <v>15</v>
      </c>
    </row>
    <row r="177" spans="1:15" x14ac:dyDescent="0.25">
      <c r="A177" s="3">
        <v>17504</v>
      </c>
      <c r="B177" s="3" t="s">
        <v>37</v>
      </c>
      <c r="C177" s="3" t="s">
        <v>39</v>
      </c>
      <c r="D177" s="4">
        <v>80000</v>
      </c>
      <c r="E177" s="3">
        <v>2</v>
      </c>
      <c r="F177" s="3" t="s">
        <v>19</v>
      </c>
      <c r="G177" s="3" t="s">
        <v>14</v>
      </c>
      <c r="H177" s="3" t="s">
        <v>15</v>
      </c>
      <c r="I177" s="3">
        <v>2</v>
      </c>
      <c r="J177" s="3" t="s">
        <v>23</v>
      </c>
      <c r="K177" s="3" t="s">
        <v>24</v>
      </c>
      <c r="L177" s="3">
        <v>52</v>
      </c>
      <c r="M177" s="3" t="s">
        <v>51</v>
      </c>
      <c r="N177" s="3" t="s">
        <v>48</v>
      </c>
      <c r="O177" s="3" t="s">
        <v>15</v>
      </c>
    </row>
    <row r="178" spans="1:15" x14ac:dyDescent="0.25">
      <c r="A178" s="3">
        <v>12253</v>
      </c>
      <c r="B178" s="3" t="s">
        <v>37</v>
      </c>
      <c r="C178" s="3" t="s">
        <v>39</v>
      </c>
      <c r="D178" s="4">
        <v>20000</v>
      </c>
      <c r="E178" s="3">
        <v>0</v>
      </c>
      <c r="F178" s="3" t="s">
        <v>19</v>
      </c>
      <c r="G178" s="3" t="s">
        <v>25</v>
      </c>
      <c r="H178" s="3" t="s">
        <v>15</v>
      </c>
      <c r="I178" s="3">
        <v>0</v>
      </c>
      <c r="J178" s="3" t="s">
        <v>16</v>
      </c>
      <c r="K178" s="3" t="s">
        <v>24</v>
      </c>
      <c r="L178" s="3">
        <v>29</v>
      </c>
      <c r="M178" s="3" t="s">
        <v>53</v>
      </c>
      <c r="N178" s="3" t="s">
        <v>49</v>
      </c>
      <c r="O178" s="3" t="s">
        <v>15</v>
      </c>
    </row>
    <row r="179" spans="1:15" x14ac:dyDescent="0.25">
      <c r="A179" s="3">
        <v>27304</v>
      </c>
      <c r="B179" s="3" t="s">
        <v>37</v>
      </c>
      <c r="C179" s="3" t="s">
        <v>39</v>
      </c>
      <c r="D179" s="4">
        <v>110000</v>
      </c>
      <c r="E179" s="3">
        <v>2</v>
      </c>
      <c r="F179" s="3" t="s">
        <v>19</v>
      </c>
      <c r="G179" s="3" t="s">
        <v>21</v>
      </c>
      <c r="H179" s="3" t="s">
        <v>18</v>
      </c>
      <c r="I179" s="3">
        <v>3</v>
      </c>
      <c r="J179" s="3" t="s">
        <v>23</v>
      </c>
      <c r="K179" s="3" t="s">
        <v>17</v>
      </c>
      <c r="L179" s="3">
        <v>48</v>
      </c>
      <c r="M179" s="3" t="s">
        <v>51</v>
      </c>
      <c r="N179" s="3" t="s">
        <v>48</v>
      </c>
      <c r="O179" s="3" t="s">
        <v>18</v>
      </c>
    </row>
    <row r="180" spans="1:15" x14ac:dyDescent="0.25">
      <c r="A180" s="3">
        <v>14191</v>
      </c>
      <c r="B180" s="3" t="s">
        <v>36</v>
      </c>
      <c r="C180" s="3" t="s">
        <v>38</v>
      </c>
      <c r="D180" s="4">
        <v>160000</v>
      </c>
      <c r="E180" s="3">
        <v>4</v>
      </c>
      <c r="F180" s="3" t="s">
        <v>19</v>
      </c>
      <c r="G180" s="3" t="s">
        <v>21</v>
      </c>
      <c r="H180" s="3" t="s">
        <v>18</v>
      </c>
      <c r="I180" s="3">
        <v>2</v>
      </c>
      <c r="J180" s="3" t="s">
        <v>46</v>
      </c>
      <c r="K180" s="3" t="s">
        <v>17</v>
      </c>
      <c r="L180" s="3">
        <v>55</v>
      </c>
      <c r="M180" s="3" t="s">
        <v>52</v>
      </c>
      <c r="N180" s="3" t="s">
        <v>47</v>
      </c>
      <c r="O180" s="3" t="s">
        <v>15</v>
      </c>
    </row>
    <row r="181" spans="1:15" x14ac:dyDescent="0.25">
      <c r="A181" s="3">
        <v>12212</v>
      </c>
      <c r="B181" s="3" t="s">
        <v>36</v>
      </c>
      <c r="C181" s="3" t="s">
        <v>39</v>
      </c>
      <c r="D181" s="4">
        <v>10000</v>
      </c>
      <c r="E181" s="3">
        <v>0</v>
      </c>
      <c r="F181" s="3" t="s">
        <v>31</v>
      </c>
      <c r="G181" s="3" t="s">
        <v>25</v>
      </c>
      <c r="H181" s="3" t="s">
        <v>15</v>
      </c>
      <c r="I181" s="3">
        <v>0</v>
      </c>
      <c r="J181" s="3" t="s">
        <v>16</v>
      </c>
      <c r="K181" s="3" t="s">
        <v>17</v>
      </c>
      <c r="L181" s="3">
        <v>37</v>
      </c>
      <c r="M181" s="3" t="s">
        <v>53</v>
      </c>
      <c r="N181" s="3" t="s">
        <v>49</v>
      </c>
      <c r="O181" s="3" t="s">
        <v>15</v>
      </c>
    </row>
    <row r="182" spans="1:15" x14ac:dyDescent="0.25">
      <c r="A182" s="3">
        <v>25529</v>
      </c>
      <c r="B182" s="3" t="s">
        <v>37</v>
      </c>
      <c r="C182" s="3" t="s">
        <v>38</v>
      </c>
      <c r="D182" s="4">
        <v>10000</v>
      </c>
      <c r="E182" s="3">
        <v>1</v>
      </c>
      <c r="F182" s="3" t="s">
        <v>31</v>
      </c>
      <c r="G182" s="3" t="s">
        <v>25</v>
      </c>
      <c r="H182" s="3" t="s">
        <v>15</v>
      </c>
      <c r="I182" s="3">
        <v>0</v>
      </c>
      <c r="J182" s="3" t="s">
        <v>16</v>
      </c>
      <c r="K182" s="3" t="s">
        <v>17</v>
      </c>
      <c r="L182" s="3">
        <v>44</v>
      </c>
      <c r="M182" s="3" t="s">
        <v>53</v>
      </c>
      <c r="N182" s="3" t="s">
        <v>49</v>
      </c>
      <c r="O182" s="3" t="s">
        <v>18</v>
      </c>
    </row>
    <row r="183" spans="1:15" x14ac:dyDescent="0.25">
      <c r="A183" s="3">
        <v>22170</v>
      </c>
      <c r="B183" s="3" t="s">
        <v>36</v>
      </c>
      <c r="C183" s="3" t="s">
        <v>39</v>
      </c>
      <c r="D183" s="4">
        <v>30000</v>
      </c>
      <c r="E183" s="3">
        <v>3</v>
      </c>
      <c r="F183" s="3" t="s">
        <v>19</v>
      </c>
      <c r="G183" s="3" t="s">
        <v>20</v>
      </c>
      <c r="H183" s="3" t="s">
        <v>18</v>
      </c>
      <c r="I183" s="3">
        <v>2</v>
      </c>
      <c r="J183" s="3" t="s">
        <v>26</v>
      </c>
      <c r="K183" s="3" t="s">
        <v>24</v>
      </c>
      <c r="L183" s="3">
        <v>55</v>
      </c>
      <c r="M183" s="3" t="s">
        <v>52</v>
      </c>
      <c r="N183" s="3" t="s">
        <v>47</v>
      </c>
      <c r="O183" s="3" t="s">
        <v>15</v>
      </c>
    </row>
    <row r="184" spans="1:15" x14ac:dyDescent="0.25">
      <c r="A184" s="3">
        <v>19445</v>
      </c>
      <c r="B184" s="3" t="s">
        <v>36</v>
      </c>
      <c r="C184" s="3" t="s">
        <v>39</v>
      </c>
      <c r="D184" s="4">
        <v>10000</v>
      </c>
      <c r="E184" s="3">
        <v>2</v>
      </c>
      <c r="F184" s="3" t="s">
        <v>27</v>
      </c>
      <c r="G184" s="3" t="s">
        <v>25</v>
      </c>
      <c r="H184" s="3" t="s">
        <v>18</v>
      </c>
      <c r="I184" s="3">
        <v>1</v>
      </c>
      <c r="J184" s="3" t="s">
        <v>16</v>
      </c>
      <c r="K184" s="3" t="s">
        <v>17</v>
      </c>
      <c r="L184" s="3">
        <v>38</v>
      </c>
      <c r="M184" s="3" t="s">
        <v>53</v>
      </c>
      <c r="N184" s="3" t="s">
        <v>49</v>
      </c>
      <c r="O184" s="3" t="s">
        <v>18</v>
      </c>
    </row>
    <row r="185" spans="1:15" x14ac:dyDescent="0.25">
      <c r="A185" s="3">
        <v>15265</v>
      </c>
      <c r="B185" s="3" t="s">
        <v>37</v>
      </c>
      <c r="C185" s="3" t="s">
        <v>38</v>
      </c>
      <c r="D185" s="4">
        <v>40000</v>
      </c>
      <c r="E185" s="3">
        <v>2</v>
      </c>
      <c r="F185" s="3" t="s">
        <v>13</v>
      </c>
      <c r="G185" s="3" t="s">
        <v>28</v>
      </c>
      <c r="H185" s="3" t="s">
        <v>15</v>
      </c>
      <c r="I185" s="3">
        <v>2</v>
      </c>
      <c r="J185" s="3" t="s">
        <v>23</v>
      </c>
      <c r="K185" s="3" t="s">
        <v>24</v>
      </c>
      <c r="L185" s="3">
        <v>66</v>
      </c>
      <c r="M185" s="3" t="s">
        <v>54</v>
      </c>
      <c r="N185" s="3" t="s">
        <v>50</v>
      </c>
      <c r="O185" s="3" t="s">
        <v>15</v>
      </c>
    </row>
    <row r="186" spans="1:15" x14ac:dyDescent="0.25">
      <c r="A186" s="3">
        <v>28918</v>
      </c>
      <c r="B186" s="3" t="s">
        <v>36</v>
      </c>
      <c r="C186" s="3" t="s">
        <v>39</v>
      </c>
      <c r="D186" s="4">
        <v>130000</v>
      </c>
      <c r="E186" s="3">
        <v>4</v>
      </c>
      <c r="F186" s="3" t="s">
        <v>27</v>
      </c>
      <c r="G186" s="3" t="s">
        <v>28</v>
      </c>
      <c r="H186" s="3" t="s">
        <v>18</v>
      </c>
      <c r="I186" s="3">
        <v>4</v>
      </c>
      <c r="J186" s="3" t="s">
        <v>46</v>
      </c>
      <c r="K186" s="3" t="s">
        <v>17</v>
      </c>
      <c r="L186" s="3">
        <v>58</v>
      </c>
      <c r="M186" s="3" t="s">
        <v>54</v>
      </c>
      <c r="N186" s="3" t="s">
        <v>50</v>
      </c>
      <c r="O186" s="3" t="s">
        <v>18</v>
      </c>
    </row>
    <row r="187" spans="1:15" x14ac:dyDescent="0.25">
      <c r="A187" s="3">
        <v>15799</v>
      </c>
      <c r="B187" s="3" t="s">
        <v>36</v>
      </c>
      <c r="C187" s="3" t="s">
        <v>39</v>
      </c>
      <c r="D187" s="4">
        <v>90000</v>
      </c>
      <c r="E187" s="3">
        <v>1</v>
      </c>
      <c r="F187" s="3" t="s">
        <v>13</v>
      </c>
      <c r="G187" s="3" t="s">
        <v>21</v>
      </c>
      <c r="H187" s="3" t="s">
        <v>15</v>
      </c>
      <c r="I187" s="3">
        <v>1</v>
      </c>
      <c r="J187" s="3" t="s">
        <v>22</v>
      </c>
      <c r="K187" s="3" t="s">
        <v>24</v>
      </c>
      <c r="L187" s="3">
        <v>47</v>
      </c>
      <c r="M187" s="3" t="s">
        <v>51</v>
      </c>
      <c r="N187" s="3" t="s">
        <v>48</v>
      </c>
      <c r="O187" s="3" t="s">
        <v>15</v>
      </c>
    </row>
    <row r="188" spans="1:15" x14ac:dyDescent="0.25">
      <c r="A188" s="3">
        <v>11047</v>
      </c>
      <c r="B188" s="3" t="s">
        <v>36</v>
      </c>
      <c r="C188" s="3" t="s">
        <v>39</v>
      </c>
      <c r="D188" s="4">
        <v>30000</v>
      </c>
      <c r="E188" s="3">
        <v>3</v>
      </c>
      <c r="F188" s="3" t="s">
        <v>27</v>
      </c>
      <c r="G188" s="3" t="s">
        <v>14</v>
      </c>
      <c r="H188" s="3" t="s">
        <v>18</v>
      </c>
      <c r="I188" s="3">
        <v>2</v>
      </c>
      <c r="J188" s="3" t="s">
        <v>26</v>
      </c>
      <c r="K188" s="3" t="s">
        <v>24</v>
      </c>
      <c r="L188" s="3">
        <v>56</v>
      </c>
      <c r="M188" s="3" t="s">
        <v>54</v>
      </c>
      <c r="N188" s="3" t="s">
        <v>50</v>
      </c>
      <c r="O188" s="3" t="s">
        <v>15</v>
      </c>
    </row>
    <row r="189" spans="1:15" x14ac:dyDescent="0.25">
      <c r="A189" s="3">
        <v>18151</v>
      </c>
      <c r="B189" s="3" t="s">
        <v>37</v>
      </c>
      <c r="C189" s="3" t="s">
        <v>38</v>
      </c>
      <c r="D189" s="4">
        <v>80000</v>
      </c>
      <c r="E189" s="3">
        <v>5</v>
      </c>
      <c r="F189" s="3" t="s">
        <v>19</v>
      </c>
      <c r="G189" s="3" t="s">
        <v>21</v>
      </c>
      <c r="H189" s="3" t="s">
        <v>18</v>
      </c>
      <c r="I189" s="3">
        <v>2</v>
      </c>
      <c r="J189" s="3" t="s">
        <v>46</v>
      </c>
      <c r="K189" s="3" t="s">
        <v>17</v>
      </c>
      <c r="L189" s="3">
        <v>59</v>
      </c>
      <c r="M189" s="3" t="s">
        <v>54</v>
      </c>
      <c r="N189" s="3" t="s">
        <v>50</v>
      </c>
      <c r="O189" s="3" t="s">
        <v>18</v>
      </c>
    </row>
    <row r="190" spans="1:15" x14ac:dyDescent="0.25">
      <c r="A190" s="3">
        <v>20606</v>
      </c>
      <c r="B190" s="3" t="s">
        <v>36</v>
      </c>
      <c r="C190" s="3" t="s">
        <v>39</v>
      </c>
      <c r="D190" s="4">
        <v>70000</v>
      </c>
      <c r="E190" s="3">
        <v>0</v>
      </c>
      <c r="F190" s="3" t="s">
        <v>13</v>
      </c>
      <c r="G190" s="3" t="s">
        <v>21</v>
      </c>
      <c r="H190" s="3" t="s">
        <v>15</v>
      </c>
      <c r="I190" s="3">
        <v>4</v>
      </c>
      <c r="J190" s="3" t="s">
        <v>46</v>
      </c>
      <c r="K190" s="3" t="s">
        <v>24</v>
      </c>
      <c r="L190" s="3">
        <v>32</v>
      </c>
      <c r="M190" s="3" t="s">
        <v>53</v>
      </c>
      <c r="N190" s="3" t="s">
        <v>49</v>
      </c>
      <c r="O190" s="3" t="s">
        <v>15</v>
      </c>
    </row>
    <row r="191" spans="1:15" x14ac:dyDescent="0.25">
      <c r="A191" s="3">
        <v>19482</v>
      </c>
      <c r="B191" s="3" t="s">
        <v>36</v>
      </c>
      <c r="C191" s="3" t="s">
        <v>38</v>
      </c>
      <c r="D191" s="4">
        <v>30000</v>
      </c>
      <c r="E191" s="3">
        <v>1</v>
      </c>
      <c r="F191" s="3" t="s">
        <v>19</v>
      </c>
      <c r="G191" s="3" t="s">
        <v>20</v>
      </c>
      <c r="H191" s="3" t="s">
        <v>15</v>
      </c>
      <c r="I191" s="3">
        <v>1</v>
      </c>
      <c r="J191" s="3" t="s">
        <v>16</v>
      </c>
      <c r="K191" s="3" t="s">
        <v>17</v>
      </c>
      <c r="L191" s="3">
        <v>44</v>
      </c>
      <c r="M191" s="3" t="s">
        <v>53</v>
      </c>
      <c r="N191" s="3" t="s">
        <v>49</v>
      </c>
      <c r="O191" s="3" t="s">
        <v>15</v>
      </c>
    </row>
    <row r="192" spans="1:15" x14ac:dyDescent="0.25">
      <c r="A192" s="3">
        <v>16489</v>
      </c>
      <c r="B192" s="3" t="s">
        <v>36</v>
      </c>
      <c r="C192" s="3" t="s">
        <v>38</v>
      </c>
      <c r="D192" s="4">
        <v>30000</v>
      </c>
      <c r="E192" s="3">
        <v>3</v>
      </c>
      <c r="F192" s="3" t="s">
        <v>27</v>
      </c>
      <c r="G192" s="3" t="s">
        <v>14</v>
      </c>
      <c r="H192" s="3" t="s">
        <v>15</v>
      </c>
      <c r="I192" s="3">
        <v>2</v>
      </c>
      <c r="J192" s="3" t="s">
        <v>23</v>
      </c>
      <c r="K192" s="3" t="s">
        <v>24</v>
      </c>
      <c r="L192" s="3">
        <v>55</v>
      </c>
      <c r="M192" s="3" t="s">
        <v>52</v>
      </c>
      <c r="N192" s="3" t="s">
        <v>47</v>
      </c>
      <c r="O192" s="3" t="s">
        <v>18</v>
      </c>
    </row>
    <row r="193" spans="1:15" x14ac:dyDescent="0.25">
      <c r="A193" s="3">
        <v>26944</v>
      </c>
      <c r="B193" s="3" t="s">
        <v>37</v>
      </c>
      <c r="C193" s="3" t="s">
        <v>38</v>
      </c>
      <c r="D193" s="4">
        <v>90000</v>
      </c>
      <c r="E193" s="3">
        <v>2</v>
      </c>
      <c r="F193" s="3" t="s">
        <v>27</v>
      </c>
      <c r="G193" s="3" t="s">
        <v>25</v>
      </c>
      <c r="H193" s="3" t="s">
        <v>15</v>
      </c>
      <c r="I193" s="3">
        <v>0</v>
      </c>
      <c r="J193" s="3" t="s">
        <v>16</v>
      </c>
      <c r="K193" s="3" t="s">
        <v>17</v>
      </c>
      <c r="L193" s="3">
        <v>36</v>
      </c>
      <c r="M193" s="3" t="s">
        <v>53</v>
      </c>
      <c r="N193" s="3" t="s">
        <v>49</v>
      </c>
      <c r="O193" s="3" t="s">
        <v>15</v>
      </c>
    </row>
    <row r="194" spans="1:15" x14ac:dyDescent="0.25">
      <c r="A194" s="3">
        <v>15682</v>
      </c>
      <c r="B194" s="3" t="s">
        <v>37</v>
      </c>
      <c r="C194" s="3" t="s">
        <v>39</v>
      </c>
      <c r="D194" s="4">
        <v>80000</v>
      </c>
      <c r="E194" s="3">
        <v>5</v>
      </c>
      <c r="F194" s="3" t="s">
        <v>13</v>
      </c>
      <c r="G194" s="3" t="s">
        <v>28</v>
      </c>
      <c r="H194" s="3" t="s">
        <v>15</v>
      </c>
      <c r="I194" s="3">
        <v>2</v>
      </c>
      <c r="J194" s="3" t="s">
        <v>46</v>
      </c>
      <c r="K194" s="3" t="s">
        <v>17</v>
      </c>
      <c r="L194" s="3">
        <v>62</v>
      </c>
      <c r="M194" s="3" t="s">
        <v>54</v>
      </c>
      <c r="N194" s="3" t="s">
        <v>50</v>
      </c>
      <c r="O194" s="3" t="s">
        <v>18</v>
      </c>
    </row>
    <row r="195" spans="1:15" x14ac:dyDescent="0.25">
      <c r="A195" s="3">
        <v>26032</v>
      </c>
      <c r="B195" s="3" t="s">
        <v>36</v>
      </c>
      <c r="C195" s="3" t="s">
        <v>39</v>
      </c>
      <c r="D195" s="4">
        <v>70000</v>
      </c>
      <c r="E195" s="3">
        <v>5</v>
      </c>
      <c r="F195" s="3" t="s">
        <v>13</v>
      </c>
      <c r="G195" s="3" t="s">
        <v>21</v>
      </c>
      <c r="H195" s="3" t="s">
        <v>15</v>
      </c>
      <c r="I195" s="3">
        <v>4</v>
      </c>
      <c r="J195" s="3" t="s">
        <v>46</v>
      </c>
      <c r="K195" s="3" t="s">
        <v>24</v>
      </c>
      <c r="L195" s="3">
        <v>41</v>
      </c>
      <c r="M195" s="3" t="s">
        <v>53</v>
      </c>
      <c r="N195" s="3" t="s">
        <v>49</v>
      </c>
      <c r="O195" s="3" t="s">
        <v>18</v>
      </c>
    </row>
    <row r="196" spans="1:15" x14ac:dyDescent="0.25">
      <c r="A196" s="3">
        <v>17843</v>
      </c>
      <c r="B196" s="3" t="s">
        <v>37</v>
      </c>
      <c r="C196" s="3" t="s">
        <v>39</v>
      </c>
      <c r="D196" s="4">
        <v>10000</v>
      </c>
      <c r="E196" s="3">
        <v>0</v>
      </c>
      <c r="F196" s="3" t="s">
        <v>29</v>
      </c>
      <c r="G196" s="3" t="s">
        <v>25</v>
      </c>
      <c r="H196" s="3" t="s">
        <v>18</v>
      </c>
      <c r="I196" s="3">
        <v>2</v>
      </c>
      <c r="J196" s="3" t="s">
        <v>16</v>
      </c>
      <c r="K196" s="3" t="s">
        <v>17</v>
      </c>
      <c r="L196" s="3">
        <v>32</v>
      </c>
      <c r="M196" s="3" t="s">
        <v>53</v>
      </c>
      <c r="N196" s="3" t="s">
        <v>49</v>
      </c>
      <c r="O196" s="3" t="s">
        <v>18</v>
      </c>
    </row>
    <row r="197" spans="1:15" x14ac:dyDescent="0.25">
      <c r="A197" s="3">
        <v>25559</v>
      </c>
      <c r="B197" s="3" t="s">
        <v>37</v>
      </c>
      <c r="C197" s="3" t="s">
        <v>38</v>
      </c>
      <c r="D197" s="4">
        <v>20000</v>
      </c>
      <c r="E197" s="3">
        <v>0</v>
      </c>
      <c r="F197" s="3" t="s">
        <v>13</v>
      </c>
      <c r="G197" s="3" t="s">
        <v>20</v>
      </c>
      <c r="H197" s="3" t="s">
        <v>15</v>
      </c>
      <c r="I197" s="3">
        <v>0</v>
      </c>
      <c r="J197" s="3" t="s">
        <v>16</v>
      </c>
      <c r="K197" s="3" t="s">
        <v>24</v>
      </c>
      <c r="L197" s="3">
        <v>25</v>
      </c>
      <c r="M197" s="3" t="s">
        <v>53</v>
      </c>
      <c r="N197" s="3" t="s">
        <v>49</v>
      </c>
      <c r="O197" s="3" t="s">
        <v>15</v>
      </c>
    </row>
    <row r="198" spans="1:15" x14ac:dyDescent="0.25">
      <c r="A198" s="3">
        <v>16209</v>
      </c>
      <c r="B198" s="3" t="s">
        <v>37</v>
      </c>
      <c r="C198" s="3" t="s">
        <v>39</v>
      </c>
      <c r="D198" s="4">
        <v>50000</v>
      </c>
      <c r="E198" s="3">
        <v>0</v>
      </c>
      <c r="F198" s="3" t="s">
        <v>31</v>
      </c>
      <c r="G198" s="3" t="s">
        <v>14</v>
      </c>
      <c r="H198" s="3" t="s">
        <v>15</v>
      </c>
      <c r="I198" s="3">
        <v>0</v>
      </c>
      <c r="J198" s="3" t="s">
        <v>26</v>
      </c>
      <c r="K198" s="3" t="s">
        <v>17</v>
      </c>
      <c r="L198" s="3">
        <v>36</v>
      </c>
      <c r="M198" s="3" t="s">
        <v>53</v>
      </c>
      <c r="N198" s="3" t="s">
        <v>49</v>
      </c>
      <c r="O198" s="3" t="s">
        <v>18</v>
      </c>
    </row>
    <row r="199" spans="1:15" x14ac:dyDescent="0.25">
      <c r="A199" s="3">
        <v>11147</v>
      </c>
      <c r="B199" s="3" t="s">
        <v>36</v>
      </c>
      <c r="C199" s="3" t="s">
        <v>38</v>
      </c>
      <c r="D199" s="4">
        <v>60000</v>
      </c>
      <c r="E199" s="3">
        <v>2</v>
      </c>
      <c r="F199" s="3" t="s">
        <v>31</v>
      </c>
      <c r="G199" s="3" t="s">
        <v>28</v>
      </c>
      <c r="H199" s="3" t="s">
        <v>15</v>
      </c>
      <c r="I199" s="3">
        <v>1</v>
      </c>
      <c r="J199" s="3" t="s">
        <v>16</v>
      </c>
      <c r="K199" s="3" t="s">
        <v>24</v>
      </c>
      <c r="L199" s="3">
        <v>67</v>
      </c>
      <c r="M199" s="3" t="s">
        <v>54</v>
      </c>
      <c r="N199" s="3" t="s">
        <v>50</v>
      </c>
      <c r="O199" s="3" t="s">
        <v>15</v>
      </c>
    </row>
    <row r="200" spans="1:15" x14ac:dyDescent="0.25">
      <c r="A200" s="3">
        <v>15214</v>
      </c>
      <c r="B200" s="3" t="s">
        <v>37</v>
      </c>
      <c r="C200" s="3" t="s">
        <v>39</v>
      </c>
      <c r="D200" s="4">
        <v>100000</v>
      </c>
      <c r="E200" s="3">
        <v>0</v>
      </c>
      <c r="F200" s="3" t="s">
        <v>31</v>
      </c>
      <c r="G200" s="3" t="s">
        <v>28</v>
      </c>
      <c r="H200" s="3" t="s">
        <v>18</v>
      </c>
      <c r="I200" s="3">
        <v>1</v>
      </c>
      <c r="J200" s="3" t="s">
        <v>26</v>
      </c>
      <c r="K200" s="3" t="s">
        <v>24</v>
      </c>
      <c r="L200" s="3">
        <v>39</v>
      </c>
      <c r="M200" s="3" t="s">
        <v>53</v>
      </c>
      <c r="N200" s="3" t="s">
        <v>49</v>
      </c>
      <c r="O200" s="3" t="s">
        <v>15</v>
      </c>
    </row>
    <row r="201" spans="1:15" x14ac:dyDescent="0.25">
      <c r="A201" s="3">
        <v>11453</v>
      </c>
      <c r="B201" s="3" t="s">
        <v>37</v>
      </c>
      <c r="C201" s="3" t="s">
        <v>38</v>
      </c>
      <c r="D201" s="4">
        <v>80000</v>
      </c>
      <c r="E201" s="3">
        <v>0</v>
      </c>
      <c r="F201" s="3" t="s">
        <v>13</v>
      </c>
      <c r="G201" s="3" t="s">
        <v>21</v>
      </c>
      <c r="H201" s="3" t="s">
        <v>18</v>
      </c>
      <c r="I201" s="3">
        <v>3</v>
      </c>
      <c r="J201" s="3" t="s">
        <v>46</v>
      </c>
      <c r="K201" s="3" t="s">
        <v>24</v>
      </c>
      <c r="L201" s="3">
        <v>33</v>
      </c>
      <c r="M201" s="3" t="s">
        <v>53</v>
      </c>
      <c r="N201" s="3" t="s">
        <v>49</v>
      </c>
      <c r="O201" s="3" t="s">
        <v>15</v>
      </c>
    </row>
    <row r="202" spans="1:15" x14ac:dyDescent="0.25">
      <c r="A202" s="3">
        <v>24584</v>
      </c>
      <c r="B202" s="3" t="s">
        <v>37</v>
      </c>
      <c r="C202" s="3" t="s">
        <v>38</v>
      </c>
      <c r="D202" s="4">
        <v>60000</v>
      </c>
      <c r="E202" s="3">
        <v>0</v>
      </c>
      <c r="F202" s="3" t="s">
        <v>13</v>
      </c>
      <c r="G202" s="3" t="s">
        <v>21</v>
      </c>
      <c r="H202" s="3" t="s">
        <v>18</v>
      </c>
      <c r="I202" s="3">
        <v>3</v>
      </c>
      <c r="J202" s="3" t="s">
        <v>22</v>
      </c>
      <c r="K202" s="3" t="s">
        <v>24</v>
      </c>
      <c r="L202" s="3">
        <v>31</v>
      </c>
      <c r="M202" s="3" t="s">
        <v>53</v>
      </c>
      <c r="N202" s="3" t="s">
        <v>49</v>
      </c>
      <c r="O202" s="3" t="s">
        <v>18</v>
      </c>
    </row>
    <row r="203" spans="1:15" x14ac:dyDescent="0.25">
      <c r="A203" s="3">
        <v>12585</v>
      </c>
      <c r="B203" s="3" t="s">
        <v>36</v>
      </c>
      <c r="C203" s="3" t="s">
        <v>38</v>
      </c>
      <c r="D203" s="4">
        <v>10000</v>
      </c>
      <c r="E203" s="3">
        <v>1</v>
      </c>
      <c r="F203" s="3" t="s">
        <v>27</v>
      </c>
      <c r="G203" s="3" t="s">
        <v>25</v>
      </c>
      <c r="H203" s="3" t="s">
        <v>15</v>
      </c>
      <c r="I203" s="3">
        <v>0</v>
      </c>
      <c r="J203" s="3" t="s">
        <v>22</v>
      </c>
      <c r="K203" s="3" t="s">
        <v>24</v>
      </c>
      <c r="L203" s="3">
        <v>27</v>
      </c>
      <c r="M203" s="3" t="s">
        <v>53</v>
      </c>
      <c r="N203" s="3" t="s">
        <v>49</v>
      </c>
      <c r="O203" s="3" t="s">
        <v>15</v>
      </c>
    </row>
    <row r="204" spans="1:15" x14ac:dyDescent="0.25">
      <c r="A204" s="3">
        <v>18626</v>
      </c>
      <c r="B204" s="3" t="s">
        <v>37</v>
      </c>
      <c r="C204" s="3" t="s">
        <v>38</v>
      </c>
      <c r="D204" s="4">
        <v>40000</v>
      </c>
      <c r="E204" s="3">
        <v>2</v>
      </c>
      <c r="F204" s="3" t="s">
        <v>19</v>
      </c>
      <c r="G204" s="3" t="s">
        <v>20</v>
      </c>
      <c r="H204" s="3" t="s">
        <v>15</v>
      </c>
      <c r="I204" s="3">
        <v>0</v>
      </c>
      <c r="J204" s="3" t="s">
        <v>26</v>
      </c>
      <c r="K204" s="3" t="s">
        <v>17</v>
      </c>
      <c r="L204" s="3">
        <v>33</v>
      </c>
      <c r="M204" s="3" t="s">
        <v>53</v>
      </c>
      <c r="N204" s="3" t="s">
        <v>49</v>
      </c>
      <c r="O204" s="3" t="s">
        <v>15</v>
      </c>
    </row>
    <row r="205" spans="1:15" x14ac:dyDescent="0.25">
      <c r="A205" s="3">
        <v>29298</v>
      </c>
      <c r="B205" s="3" t="s">
        <v>37</v>
      </c>
      <c r="C205" s="3" t="s">
        <v>39</v>
      </c>
      <c r="D205" s="4">
        <v>60000</v>
      </c>
      <c r="E205" s="3">
        <v>1</v>
      </c>
      <c r="F205" s="3" t="s">
        <v>19</v>
      </c>
      <c r="G205" s="3" t="s">
        <v>14</v>
      </c>
      <c r="H205" s="3" t="s">
        <v>15</v>
      </c>
      <c r="I205" s="3">
        <v>1</v>
      </c>
      <c r="J205" s="3" t="s">
        <v>23</v>
      </c>
      <c r="K205" s="3" t="s">
        <v>24</v>
      </c>
      <c r="L205" s="3">
        <v>46</v>
      </c>
      <c r="M205" s="3" t="s">
        <v>51</v>
      </c>
      <c r="N205" s="3" t="s">
        <v>48</v>
      </c>
      <c r="O205" s="3" t="s">
        <v>15</v>
      </c>
    </row>
    <row r="206" spans="1:15" x14ac:dyDescent="0.25">
      <c r="A206" s="3">
        <v>24842</v>
      </c>
      <c r="B206" s="3" t="s">
        <v>37</v>
      </c>
      <c r="C206" s="3" t="s">
        <v>39</v>
      </c>
      <c r="D206" s="4">
        <v>90000</v>
      </c>
      <c r="E206" s="3">
        <v>3</v>
      </c>
      <c r="F206" s="3" t="s">
        <v>27</v>
      </c>
      <c r="G206" s="3" t="s">
        <v>21</v>
      </c>
      <c r="H206" s="3" t="s">
        <v>18</v>
      </c>
      <c r="I206" s="3">
        <v>1</v>
      </c>
      <c r="J206" s="3" t="s">
        <v>22</v>
      </c>
      <c r="K206" s="3" t="s">
        <v>17</v>
      </c>
      <c r="L206" s="3">
        <v>51</v>
      </c>
      <c r="M206" s="3" t="s">
        <v>51</v>
      </c>
      <c r="N206" s="3" t="s">
        <v>48</v>
      </c>
      <c r="O206" s="3" t="s">
        <v>18</v>
      </c>
    </row>
    <row r="207" spans="1:15" x14ac:dyDescent="0.25">
      <c r="A207" s="3">
        <v>15657</v>
      </c>
      <c r="B207" s="3" t="s">
        <v>36</v>
      </c>
      <c r="C207" s="3" t="s">
        <v>38</v>
      </c>
      <c r="D207" s="4">
        <v>30000</v>
      </c>
      <c r="E207" s="3">
        <v>3</v>
      </c>
      <c r="F207" s="3" t="s">
        <v>31</v>
      </c>
      <c r="G207" s="3" t="s">
        <v>20</v>
      </c>
      <c r="H207" s="3" t="s">
        <v>15</v>
      </c>
      <c r="I207" s="3">
        <v>0</v>
      </c>
      <c r="J207" s="3" t="s">
        <v>16</v>
      </c>
      <c r="K207" s="3" t="s">
        <v>17</v>
      </c>
      <c r="L207" s="3">
        <v>46</v>
      </c>
      <c r="M207" s="3" t="s">
        <v>51</v>
      </c>
      <c r="N207" s="3" t="s">
        <v>48</v>
      </c>
      <c r="O207" s="3" t="s">
        <v>15</v>
      </c>
    </row>
    <row r="208" spans="1:15" x14ac:dyDescent="0.25">
      <c r="A208" s="3">
        <v>11415</v>
      </c>
      <c r="B208" s="3" t="s">
        <v>37</v>
      </c>
      <c r="C208" s="3" t="s">
        <v>38</v>
      </c>
      <c r="D208" s="4">
        <v>90000</v>
      </c>
      <c r="E208" s="3">
        <v>5</v>
      </c>
      <c r="F208" s="3" t="s">
        <v>19</v>
      </c>
      <c r="G208" s="3" t="s">
        <v>21</v>
      </c>
      <c r="H208" s="3" t="s">
        <v>18</v>
      </c>
      <c r="I208" s="3">
        <v>2</v>
      </c>
      <c r="J208" s="3" t="s">
        <v>46</v>
      </c>
      <c r="K208" s="3" t="s">
        <v>17</v>
      </c>
      <c r="L208" s="3">
        <v>62</v>
      </c>
      <c r="M208" s="3" t="s">
        <v>54</v>
      </c>
      <c r="N208" s="3" t="s">
        <v>50</v>
      </c>
      <c r="O208" s="3" t="s">
        <v>18</v>
      </c>
    </row>
    <row r="209" spans="1:15" x14ac:dyDescent="0.25">
      <c r="A209" s="3">
        <v>28729</v>
      </c>
      <c r="B209" s="3" t="s">
        <v>37</v>
      </c>
      <c r="C209" s="3" t="s">
        <v>39</v>
      </c>
      <c r="D209" s="4">
        <v>20000</v>
      </c>
      <c r="E209" s="3">
        <v>0</v>
      </c>
      <c r="F209" s="3" t="s">
        <v>29</v>
      </c>
      <c r="G209" s="3" t="s">
        <v>25</v>
      </c>
      <c r="H209" s="3" t="s">
        <v>15</v>
      </c>
      <c r="I209" s="3">
        <v>2</v>
      </c>
      <c r="J209" s="3" t="s">
        <v>26</v>
      </c>
      <c r="K209" s="3" t="s">
        <v>17</v>
      </c>
      <c r="L209" s="3">
        <v>26</v>
      </c>
      <c r="M209" s="3" t="s">
        <v>53</v>
      </c>
      <c r="N209" s="3" t="s">
        <v>49</v>
      </c>
      <c r="O209" s="3" t="s">
        <v>15</v>
      </c>
    </row>
    <row r="210" spans="1:15" x14ac:dyDescent="0.25">
      <c r="A210" s="3">
        <v>22633</v>
      </c>
      <c r="B210" s="3" t="s">
        <v>37</v>
      </c>
      <c r="C210" s="3" t="s">
        <v>39</v>
      </c>
      <c r="D210" s="4">
        <v>40000</v>
      </c>
      <c r="E210" s="3">
        <v>0</v>
      </c>
      <c r="F210" s="3" t="s">
        <v>31</v>
      </c>
      <c r="G210" s="3" t="s">
        <v>20</v>
      </c>
      <c r="H210" s="3" t="s">
        <v>15</v>
      </c>
      <c r="I210" s="3">
        <v>0</v>
      </c>
      <c r="J210" s="3" t="s">
        <v>16</v>
      </c>
      <c r="K210" s="3" t="s">
        <v>17</v>
      </c>
      <c r="L210" s="3">
        <v>37</v>
      </c>
      <c r="M210" s="3" t="s">
        <v>53</v>
      </c>
      <c r="N210" s="3" t="s">
        <v>49</v>
      </c>
      <c r="O210" s="3" t="s">
        <v>15</v>
      </c>
    </row>
    <row r="211" spans="1:15" x14ac:dyDescent="0.25">
      <c r="A211" s="3">
        <v>25649</v>
      </c>
      <c r="B211" s="3" t="s">
        <v>37</v>
      </c>
      <c r="C211" s="3" t="s">
        <v>39</v>
      </c>
      <c r="D211" s="4">
        <v>30000</v>
      </c>
      <c r="E211" s="3">
        <v>3</v>
      </c>
      <c r="F211" s="3" t="s">
        <v>19</v>
      </c>
      <c r="G211" s="3" t="s">
        <v>20</v>
      </c>
      <c r="H211" s="3" t="s">
        <v>15</v>
      </c>
      <c r="I211" s="3">
        <v>0</v>
      </c>
      <c r="J211" s="3" t="s">
        <v>16</v>
      </c>
      <c r="K211" s="3" t="s">
        <v>17</v>
      </c>
      <c r="L211" s="3">
        <v>42</v>
      </c>
      <c r="M211" s="3" t="s">
        <v>53</v>
      </c>
      <c r="N211" s="3" t="s">
        <v>49</v>
      </c>
      <c r="O211" s="3" t="s">
        <v>15</v>
      </c>
    </row>
    <row r="212" spans="1:15" x14ac:dyDescent="0.25">
      <c r="A212" s="3">
        <v>14669</v>
      </c>
      <c r="B212" s="3" t="s">
        <v>36</v>
      </c>
      <c r="C212" s="3" t="s">
        <v>39</v>
      </c>
      <c r="D212" s="4">
        <v>80000</v>
      </c>
      <c r="E212" s="3">
        <v>4</v>
      </c>
      <c r="F212" s="3" t="s">
        <v>31</v>
      </c>
      <c r="G212" s="3" t="s">
        <v>28</v>
      </c>
      <c r="H212" s="3" t="s">
        <v>15</v>
      </c>
      <c r="I212" s="3">
        <v>1</v>
      </c>
      <c r="J212" s="3" t="s">
        <v>16</v>
      </c>
      <c r="K212" s="3" t="s">
        <v>24</v>
      </c>
      <c r="L212" s="3">
        <v>36</v>
      </c>
      <c r="M212" s="3" t="s">
        <v>53</v>
      </c>
      <c r="N212" s="3" t="s">
        <v>49</v>
      </c>
      <c r="O212" s="3" t="s">
        <v>18</v>
      </c>
    </row>
    <row r="213" spans="1:15" x14ac:dyDescent="0.25">
      <c r="A213" s="3">
        <v>19299</v>
      </c>
      <c r="B213" s="3" t="s">
        <v>36</v>
      </c>
      <c r="C213" s="3" t="s">
        <v>39</v>
      </c>
      <c r="D213" s="4">
        <v>50000</v>
      </c>
      <c r="E213" s="3">
        <v>0</v>
      </c>
      <c r="F213" s="3" t="s">
        <v>31</v>
      </c>
      <c r="G213" s="3" t="s">
        <v>14</v>
      </c>
      <c r="H213" s="3" t="s">
        <v>15</v>
      </c>
      <c r="I213" s="3">
        <v>0</v>
      </c>
      <c r="J213" s="3" t="s">
        <v>16</v>
      </c>
      <c r="K213" s="3" t="s">
        <v>17</v>
      </c>
      <c r="L213" s="3">
        <v>36</v>
      </c>
      <c r="M213" s="3" t="s">
        <v>53</v>
      </c>
      <c r="N213" s="3" t="s">
        <v>49</v>
      </c>
      <c r="O213" s="3" t="s">
        <v>15</v>
      </c>
    </row>
    <row r="214" spans="1:15" x14ac:dyDescent="0.25">
      <c r="A214" s="3">
        <v>20946</v>
      </c>
      <c r="B214" s="3" t="s">
        <v>37</v>
      </c>
      <c r="C214" s="3" t="s">
        <v>39</v>
      </c>
      <c r="D214" s="4">
        <v>30000</v>
      </c>
      <c r="E214" s="3">
        <v>0</v>
      </c>
      <c r="F214" s="3" t="s">
        <v>19</v>
      </c>
      <c r="G214" s="3" t="s">
        <v>20</v>
      </c>
      <c r="H214" s="3" t="s">
        <v>18</v>
      </c>
      <c r="I214" s="3">
        <v>1</v>
      </c>
      <c r="J214" s="3" t="s">
        <v>22</v>
      </c>
      <c r="K214" s="3" t="s">
        <v>17</v>
      </c>
      <c r="L214" s="3">
        <v>30</v>
      </c>
      <c r="M214" s="3" t="s">
        <v>53</v>
      </c>
      <c r="N214" s="3" t="s">
        <v>49</v>
      </c>
      <c r="O214" s="3" t="s">
        <v>18</v>
      </c>
    </row>
    <row r="215" spans="1:15" x14ac:dyDescent="0.25">
      <c r="A215" s="3">
        <v>11451</v>
      </c>
      <c r="B215" s="3" t="s">
        <v>37</v>
      </c>
      <c r="C215" s="3" t="s">
        <v>38</v>
      </c>
      <c r="D215" s="4">
        <v>70000</v>
      </c>
      <c r="E215" s="3">
        <v>0</v>
      </c>
      <c r="F215" s="3" t="s">
        <v>13</v>
      </c>
      <c r="G215" s="3" t="s">
        <v>21</v>
      </c>
      <c r="H215" s="3" t="s">
        <v>18</v>
      </c>
      <c r="I215" s="3">
        <v>4</v>
      </c>
      <c r="J215" s="3" t="s">
        <v>46</v>
      </c>
      <c r="K215" s="3" t="s">
        <v>24</v>
      </c>
      <c r="L215" s="3">
        <v>31</v>
      </c>
      <c r="M215" s="3" t="s">
        <v>53</v>
      </c>
      <c r="N215" s="3" t="s">
        <v>49</v>
      </c>
      <c r="O215" s="3" t="s">
        <v>15</v>
      </c>
    </row>
    <row r="216" spans="1:15" x14ac:dyDescent="0.25">
      <c r="A216" s="3">
        <v>25553</v>
      </c>
      <c r="B216" s="3" t="s">
        <v>36</v>
      </c>
      <c r="C216" s="3" t="s">
        <v>38</v>
      </c>
      <c r="D216" s="4">
        <v>30000</v>
      </c>
      <c r="E216" s="3">
        <v>1</v>
      </c>
      <c r="F216" s="3" t="s">
        <v>13</v>
      </c>
      <c r="G216" s="3" t="s">
        <v>20</v>
      </c>
      <c r="H216" s="3" t="s">
        <v>15</v>
      </c>
      <c r="I216" s="3">
        <v>0</v>
      </c>
      <c r="J216" s="3" t="s">
        <v>16</v>
      </c>
      <c r="K216" s="3" t="s">
        <v>17</v>
      </c>
      <c r="L216" s="3">
        <v>65</v>
      </c>
      <c r="M216" s="3" t="s">
        <v>54</v>
      </c>
      <c r="N216" s="3" t="s">
        <v>50</v>
      </c>
      <c r="O216" s="3" t="s">
        <v>15</v>
      </c>
    </row>
    <row r="217" spans="1:15" x14ac:dyDescent="0.25">
      <c r="A217" s="3">
        <v>27951</v>
      </c>
      <c r="B217" s="3" t="s">
        <v>37</v>
      </c>
      <c r="C217" s="3" t="s">
        <v>38</v>
      </c>
      <c r="D217" s="4">
        <v>80000</v>
      </c>
      <c r="E217" s="3">
        <v>4</v>
      </c>
      <c r="F217" s="3" t="s">
        <v>19</v>
      </c>
      <c r="G217" s="3" t="s">
        <v>21</v>
      </c>
      <c r="H217" s="3" t="s">
        <v>18</v>
      </c>
      <c r="I217" s="3">
        <v>2</v>
      </c>
      <c r="J217" s="3" t="s">
        <v>22</v>
      </c>
      <c r="K217" s="3" t="s">
        <v>17</v>
      </c>
      <c r="L217" s="3">
        <v>54</v>
      </c>
      <c r="M217" s="3" t="s">
        <v>51</v>
      </c>
      <c r="N217" s="3" t="s">
        <v>48</v>
      </c>
      <c r="O217" s="3" t="s">
        <v>15</v>
      </c>
    </row>
    <row r="218" spans="1:15" x14ac:dyDescent="0.25">
      <c r="A218" s="3">
        <v>25026</v>
      </c>
      <c r="B218" s="3" t="s">
        <v>36</v>
      </c>
      <c r="C218" s="3" t="s">
        <v>38</v>
      </c>
      <c r="D218" s="4">
        <v>20000</v>
      </c>
      <c r="E218" s="3">
        <v>2</v>
      </c>
      <c r="F218" s="3" t="s">
        <v>29</v>
      </c>
      <c r="G218" s="3" t="s">
        <v>20</v>
      </c>
      <c r="H218" s="3" t="s">
        <v>15</v>
      </c>
      <c r="I218" s="3">
        <v>3</v>
      </c>
      <c r="J218" s="3" t="s">
        <v>23</v>
      </c>
      <c r="K218" s="3" t="s">
        <v>24</v>
      </c>
      <c r="L218" s="3">
        <v>54</v>
      </c>
      <c r="M218" s="3" t="s">
        <v>51</v>
      </c>
      <c r="N218" s="3" t="s">
        <v>48</v>
      </c>
      <c r="O218" s="3" t="s">
        <v>18</v>
      </c>
    </row>
    <row r="219" spans="1:15" x14ac:dyDescent="0.25">
      <c r="A219" s="3">
        <v>13673</v>
      </c>
      <c r="B219" s="3" t="s">
        <v>37</v>
      </c>
      <c r="C219" s="3" t="s">
        <v>39</v>
      </c>
      <c r="D219" s="4">
        <v>20000</v>
      </c>
      <c r="E219" s="3">
        <v>0</v>
      </c>
      <c r="F219" s="3" t="s">
        <v>29</v>
      </c>
      <c r="G219" s="3" t="s">
        <v>25</v>
      </c>
      <c r="H219" s="3" t="s">
        <v>18</v>
      </c>
      <c r="I219" s="3">
        <v>2</v>
      </c>
      <c r="J219" s="3" t="s">
        <v>16</v>
      </c>
      <c r="K219" s="3" t="s">
        <v>17</v>
      </c>
      <c r="L219" s="3">
        <v>25</v>
      </c>
      <c r="M219" s="3" t="s">
        <v>53</v>
      </c>
      <c r="N219" s="3" t="s">
        <v>49</v>
      </c>
      <c r="O219" s="3" t="s">
        <v>18</v>
      </c>
    </row>
    <row r="220" spans="1:15" x14ac:dyDescent="0.25">
      <c r="A220" s="3">
        <v>16043</v>
      </c>
      <c r="B220" s="3" t="s">
        <v>37</v>
      </c>
      <c r="C220" s="3" t="s">
        <v>38</v>
      </c>
      <c r="D220" s="4">
        <v>10000</v>
      </c>
      <c r="E220" s="3">
        <v>1</v>
      </c>
      <c r="F220" s="3" t="s">
        <v>13</v>
      </c>
      <c r="G220" s="3" t="s">
        <v>25</v>
      </c>
      <c r="H220" s="3" t="s">
        <v>15</v>
      </c>
      <c r="I220" s="3">
        <v>0</v>
      </c>
      <c r="J220" s="3" t="s">
        <v>16</v>
      </c>
      <c r="K220" s="3" t="s">
        <v>17</v>
      </c>
      <c r="L220" s="3">
        <v>48</v>
      </c>
      <c r="M220" s="3" t="s">
        <v>51</v>
      </c>
      <c r="N220" s="3" t="s">
        <v>48</v>
      </c>
      <c r="O220" s="3" t="s">
        <v>18</v>
      </c>
    </row>
    <row r="221" spans="1:15" x14ac:dyDescent="0.25">
      <c r="A221" s="3">
        <v>22399</v>
      </c>
      <c r="B221" s="3" t="s">
        <v>37</v>
      </c>
      <c r="C221" s="3" t="s">
        <v>38</v>
      </c>
      <c r="D221" s="4">
        <v>10000</v>
      </c>
      <c r="E221" s="3">
        <v>0</v>
      </c>
      <c r="F221" s="3" t="s">
        <v>19</v>
      </c>
      <c r="G221" s="3" t="s">
        <v>25</v>
      </c>
      <c r="H221" s="3" t="s">
        <v>15</v>
      </c>
      <c r="I221" s="3">
        <v>1</v>
      </c>
      <c r="J221" s="3" t="s">
        <v>26</v>
      </c>
      <c r="K221" s="3" t="s">
        <v>24</v>
      </c>
      <c r="L221" s="3">
        <v>26</v>
      </c>
      <c r="M221" s="3" t="s">
        <v>53</v>
      </c>
      <c r="N221" s="3" t="s">
        <v>49</v>
      </c>
      <c r="O221" s="3" t="s">
        <v>15</v>
      </c>
    </row>
    <row r="222" spans="1:15" x14ac:dyDescent="0.25">
      <c r="A222" s="3">
        <v>27696</v>
      </c>
      <c r="B222" s="3" t="s">
        <v>36</v>
      </c>
      <c r="C222" s="3" t="s">
        <v>38</v>
      </c>
      <c r="D222" s="4">
        <v>60000</v>
      </c>
      <c r="E222" s="3">
        <v>1</v>
      </c>
      <c r="F222" s="3" t="s">
        <v>13</v>
      </c>
      <c r="G222" s="3" t="s">
        <v>21</v>
      </c>
      <c r="H222" s="3" t="s">
        <v>15</v>
      </c>
      <c r="I222" s="3">
        <v>1</v>
      </c>
      <c r="J222" s="3" t="s">
        <v>23</v>
      </c>
      <c r="K222" s="3" t="s">
        <v>24</v>
      </c>
      <c r="L222" s="3">
        <v>43</v>
      </c>
      <c r="M222" s="3" t="s">
        <v>53</v>
      </c>
      <c r="N222" s="3" t="s">
        <v>49</v>
      </c>
      <c r="O222" s="3" t="s">
        <v>15</v>
      </c>
    </row>
    <row r="223" spans="1:15" x14ac:dyDescent="0.25">
      <c r="A223" s="3">
        <v>25313</v>
      </c>
      <c r="B223" s="3" t="s">
        <v>37</v>
      </c>
      <c r="C223" s="3" t="s">
        <v>38</v>
      </c>
      <c r="D223" s="4">
        <v>10000</v>
      </c>
      <c r="E223" s="3">
        <v>0</v>
      </c>
      <c r="F223" s="3" t="s">
        <v>29</v>
      </c>
      <c r="G223" s="3" t="s">
        <v>25</v>
      </c>
      <c r="H223" s="3" t="s">
        <v>18</v>
      </c>
      <c r="I223" s="3">
        <v>2</v>
      </c>
      <c r="J223" s="3" t="s">
        <v>26</v>
      </c>
      <c r="K223" s="3" t="s">
        <v>17</v>
      </c>
      <c r="L223" s="3">
        <v>35</v>
      </c>
      <c r="M223" s="3" t="s">
        <v>53</v>
      </c>
      <c r="N223" s="3" t="s">
        <v>49</v>
      </c>
      <c r="O223" s="3" t="s">
        <v>18</v>
      </c>
    </row>
    <row r="224" spans="1:15" x14ac:dyDescent="0.25">
      <c r="A224" s="3">
        <v>13813</v>
      </c>
      <c r="B224" s="3" t="s">
        <v>36</v>
      </c>
      <c r="C224" s="3" t="s">
        <v>39</v>
      </c>
      <c r="D224" s="4">
        <v>30000</v>
      </c>
      <c r="E224" s="3">
        <v>3</v>
      </c>
      <c r="F224" s="3" t="s">
        <v>19</v>
      </c>
      <c r="G224" s="3" t="s">
        <v>20</v>
      </c>
      <c r="H224" s="3" t="s">
        <v>18</v>
      </c>
      <c r="I224" s="3">
        <v>0</v>
      </c>
      <c r="J224" s="3" t="s">
        <v>16</v>
      </c>
      <c r="K224" s="3" t="s">
        <v>17</v>
      </c>
      <c r="L224" s="3">
        <v>42</v>
      </c>
      <c r="M224" s="3" t="s">
        <v>53</v>
      </c>
      <c r="N224" s="3" t="s">
        <v>49</v>
      </c>
      <c r="O224" s="3" t="s">
        <v>18</v>
      </c>
    </row>
    <row r="225" spans="1:15" x14ac:dyDescent="0.25">
      <c r="A225" s="3">
        <v>18711</v>
      </c>
      <c r="B225" s="3" t="s">
        <v>37</v>
      </c>
      <c r="C225" s="3" t="s">
        <v>39</v>
      </c>
      <c r="D225" s="4">
        <v>70000</v>
      </c>
      <c r="E225" s="3">
        <v>5</v>
      </c>
      <c r="F225" s="3" t="s">
        <v>13</v>
      </c>
      <c r="G225" s="3" t="s">
        <v>21</v>
      </c>
      <c r="H225" s="3" t="s">
        <v>15</v>
      </c>
      <c r="I225" s="3">
        <v>4</v>
      </c>
      <c r="J225" s="3" t="s">
        <v>46</v>
      </c>
      <c r="K225" s="3" t="s">
        <v>24</v>
      </c>
      <c r="L225" s="3">
        <v>39</v>
      </c>
      <c r="M225" s="3" t="s">
        <v>53</v>
      </c>
      <c r="N225" s="3" t="s">
        <v>49</v>
      </c>
      <c r="O225" s="3" t="s">
        <v>18</v>
      </c>
    </row>
    <row r="226" spans="1:15" x14ac:dyDescent="0.25">
      <c r="A226" s="3">
        <v>19650</v>
      </c>
      <c r="B226" s="3" t="s">
        <v>36</v>
      </c>
      <c r="C226" s="3" t="s">
        <v>39</v>
      </c>
      <c r="D226" s="4">
        <v>30000</v>
      </c>
      <c r="E226" s="3">
        <v>2</v>
      </c>
      <c r="F226" s="3" t="s">
        <v>19</v>
      </c>
      <c r="G226" s="3" t="s">
        <v>20</v>
      </c>
      <c r="H226" s="3" t="s">
        <v>18</v>
      </c>
      <c r="I226" s="3">
        <v>2</v>
      </c>
      <c r="J226" s="3" t="s">
        <v>16</v>
      </c>
      <c r="K226" s="3" t="s">
        <v>24</v>
      </c>
      <c r="L226" s="3">
        <v>67</v>
      </c>
      <c r="M226" s="3" t="s">
        <v>54</v>
      </c>
      <c r="N226" s="3" t="s">
        <v>50</v>
      </c>
      <c r="O226" s="3" t="s">
        <v>18</v>
      </c>
    </row>
    <row r="227" spans="1:15" x14ac:dyDescent="0.25">
      <c r="A227" s="3">
        <v>14135</v>
      </c>
      <c r="B227" s="3" t="s">
        <v>36</v>
      </c>
      <c r="C227" s="3" t="s">
        <v>38</v>
      </c>
      <c r="D227" s="4">
        <v>20000</v>
      </c>
      <c r="E227" s="3">
        <v>1</v>
      </c>
      <c r="F227" s="3" t="s">
        <v>19</v>
      </c>
      <c r="G227" s="3" t="s">
        <v>25</v>
      </c>
      <c r="H227" s="3" t="s">
        <v>15</v>
      </c>
      <c r="I227" s="3">
        <v>0</v>
      </c>
      <c r="J227" s="3" t="s">
        <v>26</v>
      </c>
      <c r="K227" s="3" t="s">
        <v>17</v>
      </c>
      <c r="L227" s="3">
        <v>35</v>
      </c>
      <c r="M227" s="3" t="s">
        <v>53</v>
      </c>
      <c r="N227" s="3" t="s">
        <v>49</v>
      </c>
      <c r="O227" s="3" t="s">
        <v>18</v>
      </c>
    </row>
    <row r="228" spans="1:15" x14ac:dyDescent="0.25">
      <c r="A228" s="3">
        <v>12833</v>
      </c>
      <c r="B228" s="3" t="s">
        <v>37</v>
      </c>
      <c r="C228" s="3" t="s">
        <v>39</v>
      </c>
      <c r="D228" s="4">
        <v>20000</v>
      </c>
      <c r="E228" s="3">
        <v>3</v>
      </c>
      <c r="F228" s="3" t="s">
        <v>27</v>
      </c>
      <c r="G228" s="3" t="s">
        <v>25</v>
      </c>
      <c r="H228" s="3" t="s">
        <v>15</v>
      </c>
      <c r="I228" s="3">
        <v>1</v>
      </c>
      <c r="J228" s="3" t="s">
        <v>16</v>
      </c>
      <c r="K228" s="3" t="s">
        <v>17</v>
      </c>
      <c r="L228" s="3">
        <v>42</v>
      </c>
      <c r="M228" s="3" t="s">
        <v>53</v>
      </c>
      <c r="N228" s="3" t="s">
        <v>49</v>
      </c>
      <c r="O228" s="3" t="s">
        <v>15</v>
      </c>
    </row>
    <row r="229" spans="1:15" x14ac:dyDescent="0.25">
      <c r="A229" s="3">
        <v>26849</v>
      </c>
      <c r="B229" s="3" t="s">
        <v>36</v>
      </c>
      <c r="C229" s="3" t="s">
        <v>38</v>
      </c>
      <c r="D229" s="4">
        <v>10000</v>
      </c>
      <c r="E229" s="3">
        <v>3</v>
      </c>
      <c r="F229" s="3" t="s">
        <v>29</v>
      </c>
      <c r="G229" s="3" t="s">
        <v>25</v>
      </c>
      <c r="H229" s="3" t="s">
        <v>15</v>
      </c>
      <c r="I229" s="3">
        <v>2</v>
      </c>
      <c r="J229" s="3" t="s">
        <v>16</v>
      </c>
      <c r="K229" s="3" t="s">
        <v>17</v>
      </c>
      <c r="L229" s="3">
        <v>43</v>
      </c>
      <c r="M229" s="3" t="s">
        <v>53</v>
      </c>
      <c r="N229" s="3" t="s">
        <v>49</v>
      </c>
      <c r="O229" s="3" t="s">
        <v>18</v>
      </c>
    </row>
    <row r="230" spans="1:15" x14ac:dyDescent="0.25">
      <c r="A230" s="3">
        <v>20962</v>
      </c>
      <c r="B230" s="3" t="s">
        <v>36</v>
      </c>
      <c r="C230" s="3" t="s">
        <v>39</v>
      </c>
      <c r="D230" s="4">
        <v>20000</v>
      </c>
      <c r="E230" s="3">
        <v>1</v>
      </c>
      <c r="F230" s="3" t="s">
        <v>31</v>
      </c>
      <c r="G230" s="3" t="s">
        <v>20</v>
      </c>
      <c r="H230" s="3" t="s">
        <v>15</v>
      </c>
      <c r="I230" s="3">
        <v>0</v>
      </c>
      <c r="J230" s="3" t="s">
        <v>16</v>
      </c>
      <c r="K230" s="3" t="s">
        <v>17</v>
      </c>
      <c r="L230" s="3">
        <v>45</v>
      </c>
      <c r="M230" s="3" t="s">
        <v>51</v>
      </c>
      <c r="N230" s="3" t="s">
        <v>48</v>
      </c>
      <c r="O230" s="3" t="s">
        <v>18</v>
      </c>
    </row>
    <row r="231" spans="1:15" x14ac:dyDescent="0.25">
      <c r="A231" s="3">
        <v>28915</v>
      </c>
      <c r="B231" s="3" t="s">
        <v>37</v>
      </c>
      <c r="C231" s="3" t="s">
        <v>38</v>
      </c>
      <c r="D231" s="4">
        <v>80000</v>
      </c>
      <c r="E231" s="3">
        <v>5</v>
      </c>
      <c r="F231" s="3" t="s">
        <v>27</v>
      </c>
      <c r="G231" s="3" t="s">
        <v>28</v>
      </c>
      <c r="H231" s="3" t="s">
        <v>15</v>
      </c>
      <c r="I231" s="3">
        <v>3</v>
      </c>
      <c r="J231" s="3" t="s">
        <v>46</v>
      </c>
      <c r="K231" s="3" t="s">
        <v>17</v>
      </c>
      <c r="L231" s="3">
        <v>57</v>
      </c>
      <c r="M231" s="3" t="s">
        <v>54</v>
      </c>
      <c r="N231" s="3" t="s">
        <v>50</v>
      </c>
      <c r="O231" s="3" t="s">
        <v>18</v>
      </c>
    </row>
    <row r="232" spans="1:15" x14ac:dyDescent="0.25">
      <c r="A232" s="3">
        <v>22830</v>
      </c>
      <c r="B232" s="3" t="s">
        <v>36</v>
      </c>
      <c r="C232" s="3" t="s">
        <v>38</v>
      </c>
      <c r="D232" s="4">
        <v>120000</v>
      </c>
      <c r="E232" s="3">
        <v>4</v>
      </c>
      <c r="F232" s="3" t="s">
        <v>19</v>
      </c>
      <c r="G232" s="3" t="s">
        <v>28</v>
      </c>
      <c r="H232" s="3" t="s">
        <v>15</v>
      </c>
      <c r="I232" s="3">
        <v>3</v>
      </c>
      <c r="J232" s="3" t="s">
        <v>46</v>
      </c>
      <c r="K232" s="3" t="s">
        <v>17</v>
      </c>
      <c r="L232" s="3">
        <v>56</v>
      </c>
      <c r="M232" s="3" t="s">
        <v>54</v>
      </c>
      <c r="N232" s="3" t="s">
        <v>50</v>
      </c>
      <c r="O232" s="3" t="s">
        <v>18</v>
      </c>
    </row>
    <row r="233" spans="1:15" x14ac:dyDescent="0.25">
      <c r="A233" s="3">
        <v>14777</v>
      </c>
      <c r="B233" s="3" t="s">
        <v>36</v>
      </c>
      <c r="C233" s="3" t="s">
        <v>39</v>
      </c>
      <c r="D233" s="4">
        <v>40000</v>
      </c>
      <c r="E233" s="3">
        <v>0</v>
      </c>
      <c r="F233" s="3" t="s">
        <v>13</v>
      </c>
      <c r="G233" s="3" t="s">
        <v>20</v>
      </c>
      <c r="H233" s="3" t="s">
        <v>15</v>
      </c>
      <c r="I233" s="3">
        <v>0</v>
      </c>
      <c r="J233" s="3" t="s">
        <v>16</v>
      </c>
      <c r="K233" s="3" t="s">
        <v>17</v>
      </c>
      <c r="L233" s="3">
        <v>38</v>
      </c>
      <c r="M233" s="3" t="s">
        <v>53</v>
      </c>
      <c r="N233" s="3" t="s">
        <v>49</v>
      </c>
      <c r="O233" s="3" t="s">
        <v>15</v>
      </c>
    </row>
    <row r="234" spans="1:15" x14ac:dyDescent="0.25">
      <c r="A234" s="3">
        <v>12591</v>
      </c>
      <c r="B234" s="3" t="s">
        <v>36</v>
      </c>
      <c r="C234" s="3" t="s">
        <v>39</v>
      </c>
      <c r="D234" s="4">
        <v>30000</v>
      </c>
      <c r="E234" s="3">
        <v>4</v>
      </c>
      <c r="F234" s="3" t="s">
        <v>31</v>
      </c>
      <c r="G234" s="3" t="s">
        <v>20</v>
      </c>
      <c r="H234" s="3" t="s">
        <v>15</v>
      </c>
      <c r="I234" s="3">
        <v>0</v>
      </c>
      <c r="J234" s="3" t="s">
        <v>16</v>
      </c>
      <c r="K234" s="3" t="s">
        <v>17</v>
      </c>
      <c r="L234" s="3">
        <v>45</v>
      </c>
      <c r="M234" s="3" t="s">
        <v>51</v>
      </c>
      <c r="N234" s="3" t="s">
        <v>48</v>
      </c>
      <c r="O234" s="3" t="s">
        <v>18</v>
      </c>
    </row>
    <row r="235" spans="1:15" x14ac:dyDescent="0.25">
      <c r="A235" s="3">
        <v>24174</v>
      </c>
      <c r="B235" s="3" t="s">
        <v>36</v>
      </c>
      <c r="C235" s="3" t="s">
        <v>38</v>
      </c>
      <c r="D235" s="4">
        <v>20000</v>
      </c>
      <c r="E235" s="3">
        <v>0</v>
      </c>
      <c r="F235" s="3" t="s">
        <v>13</v>
      </c>
      <c r="G235" s="3" t="s">
        <v>20</v>
      </c>
      <c r="H235" s="3" t="s">
        <v>15</v>
      </c>
      <c r="I235" s="3">
        <v>0</v>
      </c>
      <c r="J235" s="3" t="s">
        <v>16</v>
      </c>
      <c r="K235" s="3" t="s">
        <v>24</v>
      </c>
      <c r="L235" s="3">
        <v>27</v>
      </c>
      <c r="M235" s="3" t="s">
        <v>53</v>
      </c>
      <c r="N235" s="3" t="s">
        <v>49</v>
      </c>
      <c r="O235" s="3" t="s">
        <v>15</v>
      </c>
    </row>
    <row r="236" spans="1:15" x14ac:dyDescent="0.25">
      <c r="A236" s="3">
        <v>24611</v>
      </c>
      <c r="B236" s="3" t="s">
        <v>37</v>
      </c>
      <c r="C236" s="3" t="s">
        <v>38</v>
      </c>
      <c r="D236" s="4">
        <v>90000</v>
      </c>
      <c r="E236" s="3">
        <v>0</v>
      </c>
      <c r="F236" s="3" t="s">
        <v>13</v>
      </c>
      <c r="G236" s="3" t="s">
        <v>21</v>
      </c>
      <c r="H236" s="3" t="s">
        <v>18</v>
      </c>
      <c r="I236" s="3">
        <v>4</v>
      </c>
      <c r="J236" s="3" t="s">
        <v>46</v>
      </c>
      <c r="K236" s="3" t="s">
        <v>24</v>
      </c>
      <c r="L236" s="3">
        <v>35</v>
      </c>
      <c r="M236" s="3" t="s">
        <v>53</v>
      </c>
      <c r="N236" s="3" t="s">
        <v>49</v>
      </c>
      <c r="O236" s="3" t="s">
        <v>15</v>
      </c>
    </row>
    <row r="237" spans="1:15" x14ac:dyDescent="0.25">
      <c r="A237" s="3">
        <v>11340</v>
      </c>
      <c r="B237" s="3" t="s">
        <v>36</v>
      </c>
      <c r="C237" s="3" t="s">
        <v>39</v>
      </c>
      <c r="D237" s="4">
        <v>10000</v>
      </c>
      <c r="E237" s="3">
        <v>1</v>
      </c>
      <c r="F237" s="3" t="s">
        <v>31</v>
      </c>
      <c r="G237" s="3" t="s">
        <v>20</v>
      </c>
      <c r="H237" s="3" t="s">
        <v>15</v>
      </c>
      <c r="I237" s="3">
        <v>0</v>
      </c>
      <c r="J237" s="3" t="s">
        <v>16</v>
      </c>
      <c r="K237" s="3" t="s">
        <v>17</v>
      </c>
      <c r="L237" s="3">
        <v>70</v>
      </c>
      <c r="M237" s="3" t="s">
        <v>54</v>
      </c>
      <c r="N237" s="3" t="s">
        <v>50</v>
      </c>
      <c r="O237" s="3" t="s">
        <v>15</v>
      </c>
    </row>
    <row r="238" spans="1:15" x14ac:dyDescent="0.25">
      <c r="A238" s="3">
        <v>25693</v>
      </c>
      <c r="B238" s="3" t="s">
        <v>37</v>
      </c>
      <c r="C238" s="3" t="s">
        <v>39</v>
      </c>
      <c r="D238" s="4">
        <v>30000</v>
      </c>
      <c r="E238" s="3">
        <v>5</v>
      </c>
      <c r="F238" s="3" t="s">
        <v>31</v>
      </c>
      <c r="G238" s="3" t="s">
        <v>20</v>
      </c>
      <c r="H238" s="3" t="s">
        <v>15</v>
      </c>
      <c r="I238" s="3">
        <v>0</v>
      </c>
      <c r="J238" s="3" t="s">
        <v>16</v>
      </c>
      <c r="K238" s="3" t="s">
        <v>17</v>
      </c>
      <c r="L238" s="3">
        <v>44</v>
      </c>
      <c r="M238" s="3" t="s">
        <v>53</v>
      </c>
      <c r="N238" s="3" t="s">
        <v>49</v>
      </c>
      <c r="O238" s="3" t="s">
        <v>15</v>
      </c>
    </row>
    <row r="239" spans="1:15" x14ac:dyDescent="0.25">
      <c r="A239" s="3">
        <v>25555</v>
      </c>
      <c r="B239" s="3" t="s">
        <v>36</v>
      </c>
      <c r="C239" s="3" t="s">
        <v>39</v>
      </c>
      <c r="D239" s="4">
        <v>10000</v>
      </c>
      <c r="E239" s="3">
        <v>0</v>
      </c>
      <c r="F239" s="3" t="s">
        <v>19</v>
      </c>
      <c r="G239" s="3" t="s">
        <v>25</v>
      </c>
      <c r="H239" s="3" t="s">
        <v>18</v>
      </c>
      <c r="I239" s="3">
        <v>1</v>
      </c>
      <c r="J239" s="3" t="s">
        <v>16</v>
      </c>
      <c r="K239" s="3" t="s">
        <v>24</v>
      </c>
      <c r="L239" s="3">
        <v>26</v>
      </c>
      <c r="M239" s="3" t="s">
        <v>53</v>
      </c>
      <c r="N239" s="3" t="s">
        <v>49</v>
      </c>
      <c r="O239" s="3" t="s">
        <v>15</v>
      </c>
    </row>
    <row r="240" spans="1:15" x14ac:dyDescent="0.25">
      <c r="A240" s="3">
        <v>22006</v>
      </c>
      <c r="B240" s="3" t="s">
        <v>36</v>
      </c>
      <c r="C240" s="3" t="s">
        <v>38</v>
      </c>
      <c r="D240" s="4">
        <v>70000</v>
      </c>
      <c r="E240" s="3">
        <v>5</v>
      </c>
      <c r="F240" s="3" t="s">
        <v>19</v>
      </c>
      <c r="G240" s="3" t="s">
        <v>14</v>
      </c>
      <c r="H240" s="3" t="s">
        <v>15</v>
      </c>
      <c r="I240" s="3">
        <v>3</v>
      </c>
      <c r="J240" s="3" t="s">
        <v>23</v>
      </c>
      <c r="K240" s="3" t="s">
        <v>24</v>
      </c>
      <c r="L240" s="3">
        <v>46</v>
      </c>
      <c r="M240" s="3" t="s">
        <v>51</v>
      </c>
      <c r="N240" s="3" t="s">
        <v>48</v>
      </c>
      <c r="O240" s="3" t="s">
        <v>18</v>
      </c>
    </row>
    <row r="241" spans="1:15" x14ac:dyDescent="0.25">
      <c r="A241" s="3">
        <v>20060</v>
      </c>
      <c r="B241" s="3" t="s">
        <v>37</v>
      </c>
      <c r="C241" s="3" t="s">
        <v>39</v>
      </c>
      <c r="D241" s="4">
        <v>30000</v>
      </c>
      <c r="E241" s="3">
        <v>0</v>
      </c>
      <c r="F241" s="3" t="s">
        <v>27</v>
      </c>
      <c r="G241" s="3" t="s">
        <v>25</v>
      </c>
      <c r="H241" s="3" t="s">
        <v>18</v>
      </c>
      <c r="I241" s="3">
        <v>1</v>
      </c>
      <c r="J241" s="3" t="s">
        <v>22</v>
      </c>
      <c r="K241" s="3" t="s">
        <v>17</v>
      </c>
      <c r="L241" s="3">
        <v>34</v>
      </c>
      <c r="M241" s="3" t="s">
        <v>53</v>
      </c>
      <c r="N241" s="3" t="s">
        <v>49</v>
      </c>
      <c r="O241" s="3" t="s">
        <v>15</v>
      </c>
    </row>
    <row r="242" spans="1:15" x14ac:dyDescent="0.25">
      <c r="A242" s="3">
        <v>17702</v>
      </c>
      <c r="B242" s="3" t="s">
        <v>36</v>
      </c>
      <c r="C242" s="3" t="s">
        <v>38</v>
      </c>
      <c r="D242" s="4">
        <v>10000</v>
      </c>
      <c r="E242" s="3">
        <v>1</v>
      </c>
      <c r="F242" s="3" t="s">
        <v>31</v>
      </c>
      <c r="G242" s="3" t="s">
        <v>25</v>
      </c>
      <c r="H242" s="3" t="s">
        <v>15</v>
      </c>
      <c r="I242" s="3">
        <v>0</v>
      </c>
      <c r="J242" s="3" t="s">
        <v>16</v>
      </c>
      <c r="K242" s="3" t="s">
        <v>17</v>
      </c>
      <c r="L242" s="3">
        <v>37</v>
      </c>
      <c r="M242" s="3" t="s">
        <v>53</v>
      </c>
      <c r="N242" s="3" t="s">
        <v>49</v>
      </c>
      <c r="O242" s="3" t="s">
        <v>18</v>
      </c>
    </row>
    <row r="243" spans="1:15" x14ac:dyDescent="0.25">
      <c r="A243" s="3">
        <v>12503</v>
      </c>
      <c r="B243" s="3" t="s">
        <v>37</v>
      </c>
      <c r="C243" s="3" t="s">
        <v>39</v>
      </c>
      <c r="D243" s="4">
        <v>30000</v>
      </c>
      <c r="E243" s="3">
        <v>3</v>
      </c>
      <c r="F243" s="3" t="s">
        <v>19</v>
      </c>
      <c r="G243" s="3" t="s">
        <v>20</v>
      </c>
      <c r="H243" s="3" t="s">
        <v>15</v>
      </c>
      <c r="I243" s="3">
        <v>2</v>
      </c>
      <c r="J243" s="3" t="s">
        <v>16</v>
      </c>
      <c r="K243" s="3" t="s">
        <v>17</v>
      </c>
      <c r="L243" s="3">
        <v>27</v>
      </c>
      <c r="M243" s="3" t="s">
        <v>53</v>
      </c>
      <c r="N243" s="3" t="s">
        <v>49</v>
      </c>
      <c r="O243" s="3" t="s">
        <v>18</v>
      </c>
    </row>
    <row r="244" spans="1:15" x14ac:dyDescent="0.25">
      <c r="A244" s="3">
        <v>23908</v>
      </c>
      <c r="B244" s="3" t="s">
        <v>37</v>
      </c>
      <c r="C244" s="3" t="s">
        <v>38</v>
      </c>
      <c r="D244" s="4">
        <v>30000</v>
      </c>
      <c r="E244" s="3">
        <v>1</v>
      </c>
      <c r="F244" s="3" t="s">
        <v>13</v>
      </c>
      <c r="G244" s="3" t="s">
        <v>20</v>
      </c>
      <c r="H244" s="3" t="s">
        <v>18</v>
      </c>
      <c r="I244" s="3">
        <v>1</v>
      </c>
      <c r="J244" s="3" t="s">
        <v>16</v>
      </c>
      <c r="K244" s="3" t="s">
        <v>17</v>
      </c>
      <c r="L244" s="3">
        <v>39</v>
      </c>
      <c r="M244" s="3" t="s">
        <v>53</v>
      </c>
      <c r="N244" s="3" t="s">
        <v>49</v>
      </c>
      <c r="O244" s="3" t="s">
        <v>15</v>
      </c>
    </row>
    <row r="245" spans="1:15" x14ac:dyDescent="0.25">
      <c r="A245" s="3">
        <v>22527</v>
      </c>
      <c r="B245" s="3" t="s">
        <v>37</v>
      </c>
      <c r="C245" s="3" t="s">
        <v>39</v>
      </c>
      <c r="D245" s="4">
        <v>20000</v>
      </c>
      <c r="E245" s="3">
        <v>0</v>
      </c>
      <c r="F245" s="3" t="s">
        <v>27</v>
      </c>
      <c r="G245" s="3" t="s">
        <v>25</v>
      </c>
      <c r="H245" s="3" t="s">
        <v>18</v>
      </c>
      <c r="I245" s="3">
        <v>1</v>
      </c>
      <c r="J245" s="3" t="s">
        <v>22</v>
      </c>
      <c r="K245" s="3" t="s">
        <v>17</v>
      </c>
      <c r="L245" s="3">
        <v>29</v>
      </c>
      <c r="M245" s="3" t="s">
        <v>53</v>
      </c>
      <c r="N245" s="3" t="s">
        <v>49</v>
      </c>
      <c r="O245" s="3" t="s">
        <v>18</v>
      </c>
    </row>
    <row r="246" spans="1:15" x14ac:dyDescent="0.25">
      <c r="A246" s="3">
        <v>19057</v>
      </c>
      <c r="B246" s="3" t="s">
        <v>36</v>
      </c>
      <c r="C246" s="3" t="s">
        <v>39</v>
      </c>
      <c r="D246" s="4">
        <v>120000</v>
      </c>
      <c r="E246" s="3">
        <v>3</v>
      </c>
      <c r="F246" s="3" t="s">
        <v>13</v>
      </c>
      <c r="G246" s="3" t="s">
        <v>28</v>
      </c>
      <c r="H246" s="3" t="s">
        <v>18</v>
      </c>
      <c r="I246" s="3">
        <v>2</v>
      </c>
      <c r="J246" s="3" t="s">
        <v>46</v>
      </c>
      <c r="K246" s="3" t="s">
        <v>17</v>
      </c>
      <c r="L246" s="3">
        <v>52</v>
      </c>
      <c r="M246" s="3" t="s">
        <v>51</v>
      </c>
      <c r="N246" s="3" t="s">
        <v>48</v>
      </c>
      <c r="O246" s="3" t="s">
        <v>15</v>
      </c>
    </row>
    <row r="247" spans="1:15" x14ac:dyDescent="0.25">
      <c r="A247" s="3">
        <v>18494</v>
      </c>
      <c r="B247" s="3" t="s">
        <v>36</v>
      </c>
      <c r="C247" s="3" t="s">
        <v>38</v>
      </c>
      <c r="D247" s="4">
        <v>110000</v>
      </c>
      <c r="E247" s="3">
        <v>5</v>
      </c>
      <c r="F247" s="3" t="s">
        <v>13</v>
      </c>
      <c r="G247" s="3" t="s">
        <v>28</v>
      </c>
      <c r="H247" s="3" t="s">
        <v>15</v>
      </c>
      <c r="I247" s="3">
        <v>4</v>
      </c>
      <c r="J247" s="3" t="s">
        <v>22</v>
      </c>
      <c r="K247" s="3" t="s">
        <v>24</v>
      </c>
      <c r="L247" s="3">
        <v>48</v>
      </c>
      <c r="M247" s="3" t="s">
        <v>51</v>
      </c>
      <c r="N247" s="3" t="s">
        <v>48</v>
      </c>
      <c r="O247" s="3" t="s">
        <v>15</v>
      </c>
    </row>
    <row r="248" spans="1:15" x14ac:dyDescent="0.25">
      <c r="A248" s="3">
        <v>11249</v>
      </c>
      <c r="B248" s="3" t="s">
        <v>36</v>
      </c>
      <c r="C248" s="3" t="s">
        <v>39</v>
      </c>
      <c r="D248" s="4">
        <v>130000</v>
      </c>
      <c r="E248" s="3">
        <v>3</v>
      </c>
      <c r="F248" s="3" t="s">
        <v>19</v>
      </c>
      <c r="G248" s="3" t="s">
        <v>21</v>
      </c>
      <c r="H248" s="3" t="s">
        <v>15</v>
      </c>
      <c r="I248" s="3">
        <v>3</v>
      </c>
      <c r="J248" s="3" t="s">
        <v>16</v>
      </c>
      <c r="K248" s="3" t="s">
        <v>17</v>
      </c>
      <c r="L248" s="3">
        <v>51</v>
      </c>
      <c r="M248" s="3" t="s">
        <v>51</v>
      </c>
      <c r="N248" s="3" t="s">
        <v>48</v>
      </c>
      <c r="O248" s="3" t="s">
        <v>15</v>
      </c>
    </row>
    <row r="249" spans="1:15" x14ac:dyDescent="0.25">
      <c r="A249" s="3">
        <v>21568</v>
      </c>
      <c r="B249" s="3" t="s">
        <v>36</v>
      </c>
      <c r="C249" s="3" t="s">
        <v>39</v>
      </c>
      <c r="D249" s="4">
        <v>100000</v>
      </c>
      <c r="E249" s="3">
        <v>0</v>
      </c>
      <c r="F249" s="3" t="s">
        <v>27</v>
      </c>
      <c r="G249" s="3" t="s">
        <v>28</v>
      </c>
      <c r="H249" s="3" t="s">
        <v>15</v>
      </c>
      <c r="I249" s="3">
        <v>4</v>
      </c>
      <c r="J249" s="3" t="s">
        <v>46</v>
      </c>
      <c r="K249" s="3" t="s">
        <v>24</v>
      </c>
      <c r="L249" s="3">
        <v>34</v>
      </c>
      <c r="M249" s="3" t="s">
        <v>53</v>
      </c>
      <c r="N249" s="3" t="s">
        <v>49</v>
      </c>
      <c r="O249" s="3" t="s">
        <v>15</v>
      </c>
    </row>
    <row r="250" spans="1:15" x14ac:dyDescent="0.25">
      <c r="A250" s="3">
        <v>13981</v>
      </c>
      <c r="B250" s="3" t="s">
        <v>36</v>
      </c>
      <c r="C250" s="3" t="s">
        <v>39</v>
      </c>
      <c r="D250" s="4">
        <v>10000</v>
      </c>
      <c r="E250" s="3">
        <v>5</v>
      </c>
      <c r="F250" s="3" t="s">
        <v>27</v>
      </c>
      <c r="G250" s="3" t="s">
        <v>14</v>
      </c>
      <c r="H250" s="3" t="s">
        <v>18</v>
      </c>
      <c r="I250" s="3">
        <v>3</v>
      </c>
      <c r="J250" s="3" t="s">
        <v>26</v>
      </c>
      <c r="K250" s="3" t="s">
        <v>24</v>
      </c>
      <c r="L250" s="3">
        <v>62</v>
      </c>
      <c r="M250" s="3" t="s">
        <v>54</v>
      </c>
      <c r="N250" s="3" t="s">
        <v>50</v>
      </c>
      <c r="O250" s="3" t="s">
        <v>18</v>
      </c>
    </row>
    <row r="251" spans="1:15" x14ac:dyDescent="0.25">
      <c r="A251" s="3">
        <v>23432</v>
      </c>
      <c r="B251" s="3" t="s">
        <v>37</v>
      </c>
      <c r="C251" s="3" t="s">
        <v>38</v>
      </c>
      <c r="D251" s="4">
        <v>70000</v>
      </c>
      <c r="E251" s="3">
        <v>0</v>
      </c>
      <c r="F251" s="3" t="s">
        <v>13</v>
      </c>
      <c r="G251" s="3" t="s">
        <v>21</v>
      </c>
      <c r="H251" s="3" t="s">
        <v>15</v>
      </c>
      <c r="I251" s="3">
        <v>1</v>
      </c>
      <c r="J251" s="3" t="s">
        <v>23</v>
      </c>
      <c r="K251" s="3" t="s">
        <v>24</v>
      </c>
      <c r="L251" s="3">
        <v>37</v>
      </c>
      <c r="M251" s="3" t="s">
        <v>53</v>
      </c>
      <c r="N251" s="3" t="s">
        <v>49</v>
      </c>
      <c r="O251" s="3" t="s">
        <v>15</v>
      </c>
    </row>
    <row r="252" spans="1:15" x14ac:dyDescent="0.25">
      <c r="A252" s="3">
        <v>22931</v>
      </c>
      <c r="B252" s="3" t="s">
        <v>36</v>
      </c>
      <c r="C252" s="3" t="s">
        <v>38</v>
      </c>
      <c r="D252" s="4">
        <v>100000</v>
      </c>
      <c r="E252" s="3">
        <v>5</v>
      </c>
      <c r="F252" s="3" t="s">
        <v>31</v>
      </c>
      <c r="G252" s="3" t="s">
        <v>28</v>
      </c>
      <c r="H252" s="3" t="s">
        <v>18</v>
      </c>
      <c r="I252" s="3">
        <v>1</v>
      </c>
      <c r="J252" s="3" t="s">
        <v>26</v>
      </c>
      <c r="K252" s="3" t="s">
        <v>24</v>
      </c>
      <c r="L252" s="3">
        <v>78</v>
      </c>
      <c r="M252" s="3" t="s">
        <v>54</v>
      </c>
      <c r="N252" s="3" t="s">
        <v>50</v>
      </c>
      <c r="O252" s="3" t="s">
        <v>15</v>
      </c>
    </row>
    <row r="253" spans="1:15" x14ac:dyDescent="0.25">
      <c r="A253" s="3">
        <v>18172</v>
      </c>
      <c r="B253" s="3" t="s">
        <v>36</v>
      </c>
      <c r="C253" s="3" t="s">
        <v>38</v>
      </c>
      <c r="D253" s="4">
        <v>130000</v>
      </c>
      <c r="E253" s="3">
        <v>4</v>
      </c>
      <c r="F253" s="3" t="s">
        <v>27</v>
      </c>
      <c r="G253" s="3" t="s">
        <v>21</v>
      </c>
      <c r="H253" s="3" t="s">
        <v>15</v>
      </c>
      <c r="I253" s="3">
        <v>3</v>
      </c>
      <c r="J253" s="3" t="s">
        <v>16</v>
      </c>
      <c r="K253" s="3" t="s">
        <v>17</v>
      </c>
      <c r="L253" s="3">
        <v>55</v>
      </c>
      <c r="M253" s="3" t="s">
        <v>52</v>
      </c>
      <c r="N253" s="3" t="s">
        <v>47</v>
      </c>
      <c r="O253" s="3" t="s">
        <v>18</v>
      </c>
    </row>
    <row r="254" spans="1:15" x14ac:dyDescent="0.25">
      <c r="A254" s="3">
        <v>12666</v>
      </c>
      <c r="B254" s="3" t="s">
        <v>37</v>
      </c>
      <c r="C254" s="3" t="s">
        <v>38</v>
      </c>
      <c r="D254" s="4">
        <v>60000</v>
      </c>
      <c r="E254" s="3">
        <v>0</v>
      </c>
      <c r="F254" s="3" t="s">
        <v>13</v>
      </c>
      <c r="G254" s="3" t="s">
        <v>21</v>
      </c>
      <c r="H254" s="3" t="s">
        <v>18</v>
      </c>
      <c r="I254" s="3">
        <v>4</v>
      </c>
      <c r="J254" s="3" t="s">
        <v>22</v>
      </c>
      <c r="K254" s="3" t="s">
        <v>24</v>
      </c>
      <c r="L254" s="3">
        <v>31</v>
      </c>
      <c r="M254" s="3" t="s">
        <v>53</v>
      </c>
      <c r="N254" s="3" t="s">
        <v>49</v>
      </c>
      <c r="O254" s="3" t="s">
        <v>18</v>
      </c>
    </row>
    <row r="255" spans="1:15" x14ac:dyDescent="0.25">
      <c r="A255" s="3">
        <v>20598</v>
      </c>
      <c r="B255" s="3" t="s">
        <v>36</v>
      </c>
      <c r="C255" s="3" t="s">
        <v>38</v>
      </c>
      <c r="D255" s="4">
        <v>100000</v>
      </c>
      <c r="E255" s="3">
        <v>3</v>
      </c>
      <c r="F255" s="3" t="s">
        <v>29</v>
      </c>
      <c r="G255" s="3" t="s">
        <v>21</v>
      </c>
      <c r="H255" s="3" t="s">
        <v>15</v>
      </c>
      <c r="I255" s="3">
        <v>0</v>
      </c>
      <c r="J255" s="3" t="s">
        <v>46</v>
      </c>
      <c r="K255" s="3" t="s">
        <v>17</v>
      </c>
      <c r="L255" s="3">
        <v>59</v>
      </c>
      <c r="M255" s="3" t="s">
        <v>54</v>
      </c>
      <c r="N255" s="3" t="s">
        <v>50</v>
      </c>
      <c r="O255" s="3" t="s">
        <v>15</v>
      </c>
    </row>
    <row r="256" spans="1:15" x14ac:dyDescent="0.25">
      <c r="A256" s="3">
        <v>21375</v>
      </c>
      <c r="B256" s="3" t="s">
        <v>37</v>
      </c>
      <c r="C256" s="3" t="s">
        <v>38</v>
      </c>
      <c r="D256" s="4">
        <v>20000</v>
      </c>
      <c r="E256" s="3">
        <v>2</v>
      </c>
      <c r="F256" s="3" t="s">
        <v>29</v>
      </c>
      <c r="G256" s="3" t="s">
        <v>20</v>
      </c>
      <c r="H256" s="3" t="s">
        <v>15</v>
      </c>
      <c r="I256" s="3">
        <v>2</v>
      </c>
      <c r="J256" s="3" t="s">
        <v>23</v>
      </c>
      <c r="K256" s="3" t="s">
        <v>24</v>
      </c>
      <c r="L256" s="3">
        <v>57</v>
      </c>
      <c r="M256" s="3" t="s">
        <v>54</v>
      </c>
      <c r="N256" s="3" t="s">
        <v>50</v>
      </c>
      <c r="O256" s="3" t="s">
        <v>18</v>
      </c>
    </row>
    <row r="257" spans="1:15" x14ac:dyDescent="0.25">
      <c r="A257" s="3">
        <v>20839</v>
      </c>
      <c r="B257" s="3" t="s">
        <v>37</v>
      </c>
      <c r="C257" s="3" t="s">
        <v>39</v>
      </c>
      <c r="D257" s="4">
        <v>30000</v>
      </c>
      <c r="E257" s="3">
        <v>3</v>
      </c>
      <c r="F257" s="3" t="s">
        <v>31</v>
      </c>
      <c r="G257" s="3" t="s">
        <v>20</v>
      </c>
      <c r="H257" s="3" t="s">
        <v>15</v>
      </c>
      <c r="I257" s="3">
        <v>0</v>
      </c>
      <c r="J257" s="3" t="s">
        <v>16</v>
      </c>
      <c r="K257" s="3" t="s">
        <v>17</v>
      </c>
      <c r="L257" s="3">
        <v>47</v>
      </c>
      <c r="M257" s="3" t="s">
        <v>51</v>
      </c>
      <c r="N257" s="3" t="s">
        <v>48</v>
      </c>
      <c r="O257" s="3" t="s">
        <v>15</v>
      </c>
    </row>
    <row r="258" spans="1:15" x14ac:dyDescent="0.25">
      <c r="A258" s="3">
        <v>21738</v>
      </c>
      <c r="B258" s="3" t="s">
        <v>36</v>
      </c>
      <c r="C258" s="3" t="s">
        <v>38</v>
      </c>
      <c r="D258" s="4">
        <v>20000</v>
      </c>
      <c r="E258" s="3">
        <v>1</v>
      </c>
      <c r="F258" s="3" t="s">
        <v>31</v>
      </c>
      <c r="G258" s="3" t="s">
        <v>20</v>
      </c>
      <c r="H258" s="3" t="s">
        <v>15</v>
      </c>
      <c r="I258" s="3">
        <v>0</v>
      </c>
      <c r="J258" s="3" t="s">
        <v>16</v>
      </c>
      <c r="K258" s="3" t="s">
        <v>17</v>
      </c>
      <c r="L258" s="3">
        <v>43</v>
      </c>
      <c r="M258" s="3" t="s">
        <v>53</v>
      </c>
      <c r="N258" s="3" t="s">
        <v>49</v>
      </c>
      <c r="O258" s="3" t="s">
        <v>18</v>
      </c>
    </row>
    <row r="259" spans="1:15" x14ac:dyDescent="0.25">
      <c r="A259" s="3">
        <v>14164</v>
      </c>
      <c r="B259" s="3" t="s">
        <v>37</v>
      </c>
      <c r="C259" s="3" t="s">
        <v>39</v>
      </c>
      <c r="D259" s="4">
        <v>50000</v>
      </c>
      <c r="E259" s="3">
        <v>0</v>
      </c>
      <c r="F259" s="3" t="s">
        <v>31</v>
      </c>
      <c r="G259" s="3" t="s">
        <v>14</v>
      </c>
      <c r="H259" s="3" t="s">
        <v>15</v>
      </c>
      <c r="I259" s="3">
        <v>0</v>
      </c>
      <c r="J259" s="3" t="s">
        <v>16</v>
      </c>
      <c r="K259" s="3" t="s">
        <v>17</v>
      </c>
      <c r="L259" s="3">
        <v>36</v>
      </c>
      <c r="M259" s="3" t="s">
        <v>53</v>
      </c>
      <c r="N259" s="3" t="s">
        <v>49</v>
      </c>
      <c r="O259" s="3" t="s">
        <v>15</v>
      </c>
    </row>
    <row r="260" spans="1:15" x14ac:dyDescent="0.25">
      <c r="A260" s="3">
        <v>14193</v>
      </c>
      <c r="B260" s="3" t="s">
        <v>37</v>
      </c>
      <c r="C260" s="3" t="s">
        <v>39</v>
      </c>
      <c r="D260" s="4">
        <v>100000</v>
      </c>
      <c r="E260" s="3">
        <v>3</v>
      </c>
      <c r="F260" s="3" t="s">
        <v>19</v>
      </c>
      <c r="G260" s="3" t="s">
        <v>28</v>
      </c>
      <c r="H260" s="3" t="s">
        <v>15</v>
      </c>
      <c r="I260" s="3">
        <v>4</v>
      </c>
      <c r="J260" s="3" t="s">
        <v>46</v>
      </c>
      <c r="K260" s="3" t="s">
        <v>17</v>
      </c>
      <c r="L260" s="3">
        <v>56</v>
      </c>
      <c r="M260" s="3" t="s">
        <v>54</v>
      </c>
      <c r="N260" s="3" t="s">
        <v>50</v>
      </c>
      <c r="O260" s="3" t="s">
        <v>18</v>
      </c>
    </row>
    <row r="261" spans="1:15" x14ac:dyDescent="0.25">
      <c r="A261" s="3">
        <v>12705</v>
      </c>
      <c r="B261" s="3" t="s">
        <v>36</v>
      </c>
      <c r="C261" s="3" t="s">
        <v>38</v>
      </c>
      <c r="D261" s="4">
        <v>150000</v>
      </c>
      <c r="E261" s="3">
        <v>0</v>
      </c>
      <c r="F261" s="3" t="s">
        <v>13</v>
      </c>
      <c r="G261" s="3" t="s">
        <v>28</v>
      </c>
      <c r="H261" s="3" t="s">
        <v>15</v>
      </c>
      <c r="I261" s="3">
        <v>4</v>
      </c>
      <c r="J261" s="3" t="s">
        <v>16</v>
      </c>
      <c r="K261" s="3" t="s">
        <v>24</v>
      </c>
      <c r="L261" s="3">
        <v>37</v>
      </c>
      <c r="M261" s="3" t="s">
        <v>53</v>
      </c>
      <c r="N261" s="3" t="s">
        <v>49</v>
      </c>
      <c r="O261" s="3" t="s">
        <v>15</v>
      </c>
    </row>
    <row r="262" spans="1:15" x14ac:dyDescent="0.25">
      <c r="A262" s="3">
        <v>22672</v>
      </c>
      <c r="B262" s="3" t="s">
        <v>37</v>
      </c>
      <c r="C262" s="3" t="s">
        <v>39</v>
      </c>
      <c r="D262" s="4">
        <v>30000</v>
      </c>
      <c r="E262" s="3">
        <v>2</v>
      </c>
      <c r="F262" s="3" t="s">
        <v>19</v>
      </c>
      <c r="G262" s="3" t="s">
        <v>20</v>
      </c>
      <c r="H262" s="3" t="s">
        <v>15</v>
      </c>
      <c r="I262" s="3">
        <v>0</v>
      </c>
      <c r="J262" s="3" t="s">
        <v>16</v>
      </c>
      <c r="K262" s="3" t="s">
        <v>17</v>
      </c>
      <c r="L262" s="3">
        <v>43</v>
      </c>
      <c r="M262" s="3" t="s">
        <v>53</v>
      </c>
      <c r="N262" s="3" t="s">
        <v>49</v>
      </c>
      <c r="O262" s="3" t="s">
        <v>18</v>
      </c>
    </row>
    <row r="263" spans="1:15" x14ac:dyDescent="0.25">
      <c r="A263" s="3">
        <v>26219</v>
      </c>
      <c r="B263" s="3" t="s">
        <v>36</v>
      </c>
      <c r="C263" s="3" t="s">
        <v>39</v>
      </c>
      <c r="D263" s="4">
        <v>40000</v>
      </c>
      <c r="E263" s="3">
        <v>1</v>
      </c>
      <c r="F263" s="3" t="s">
        <v>13</v>
      </c>
      <c r="G263" s="3" t="s">
        <v>14</v>
      </c>
      <c r="H263" s="3" t="s">
        <v>15</v>
      </c>
      <c r="I263" s="3">
        <v>1</v>
      </c>
      <c r="J263" s="3" t="s">
        <v>26</v>
      </c>
      <c r="K263" s="3" t="s">
        <v>17</v>
      </c>
      <c r="L263" s="3">
        <v>33</v>
      </c>
      <c r="M263" s="3" t="s">
        <v>53</v>
      </c>
      <c r="N263" s="3" t="s">
        <v>49</v>
      </c>
      <c r="O263" s="3" t="s">
        <v>15</v>
      </c>
    </row>
    <row r="264" spans="1:15" x14ac:dyDescent="0.25">
      <c r="A264" s="3">
        <v>28468</v>
      </c>
      <c r="B264" s="3" t="s">
        <v>36</v>
      </c>
      <c r="C264" s="3" t="s">
        <v>39</v>
      </c>
      <c r="D264" s="4">
        <v>10000</v>
      </c>
      <c r="E264" s="3">
        <v>2</v>
      </c>
      <c r="F264" s="3" t="s">
        <v>19</v>
      </c>
      <c r="G264" s="3" t="s">
        <v>25</v>
      </c>
      <c r="H264" s="3" t="s">
        <v>15</v>
      </c>
      <c r="I264" s="3">
        <v>0</v>
      </c>
      <c r="J264" s="3" t="s">
        <v>26</v>
      </c>
      <c r="K264" s="3" t="s">
        <v>17</v>
      </c>
      <c r="L264" s="3">
        <v>51</v>
      </c>
      <c r="M264" s="3" t="s">
        <v>51</v>
      </c>
      <c r="N264" s="3" t="s">
        <v>48</v>
      </c>
      <c r="O264" s="3" t="s">
        <v>18</v>
      </c>
    </row>
    <row r="265" spans="1:15" x14ac:dyDescent="0.25">
      <c r="A265" s="3">
        <v>23419</v>
      </c>
      <c r="B265" s="3" t="s">
        <v>37</v>
      </c>
      <c r="C265" s="3" t="s">
        <v>39</v>
      </c>
      <c r="D265" s="4">
        <v>70000</v>
      </c>
      <c r="E265" s="3">
        <v>5</v>
      </c>
      <c r="F265" s="3" t="s">
        <v>13</v>
      </c>
      <c r="G265" s="3" t="s">
        <v>21</v>
      </c>
      <c r="H265" s="3" t="s">
        <v>15</v>
      </c>
      <c r="I265" s="3">
        <v>3</v>
      </c>
      <c r="J265" s="3" t="s">
        <v>46</v>
      </c>
      <c r="K265" s="3" t="s">
        <v>24</v>
      </c>
      <c r="L265" s="3">
        <v>39</v>
      </c>
      <c r="M265" s="3" t="s">
        <v>53</v>
      </c>
      <c r="N265" s="3" t="s">
        <v>49</v>
      </c>
      <c r="O265" s="3" t="s">
        <v>18</v>
      </c>
    </row>
    <row r="266" spans="1:15" x14ac:dyDescent="0.25">
      <c r="A266" s="3">
        <v>17964</v>
      </c>
      <c r="B266" s="3" t="s">
        <v>36</v>
      </c>
      <c r="C266" s="3" t="s">
        <v>38</v>
      </c>
      <c r="D266" s="4">
        <v>40000</v>
      </c>
      <c r="E266" s="3">
        <v>0</v>
      </c>
      <c r="F266" s="3" t="s">
        <v>31</v>
      </c>
      <c r="G266" s="3" t="s">
        <v>20</v>
      </c>
      <c r="H266" s="3" t="s">
        <v>15</v>
      </c>
      <c r="I266" s="3">
        <v>0</v>
      </c>
      <c r="J266" s="3" t="s">
        <v>16</v>
      </c>
      <c r="K266" s="3" t="s">
        <v>17</v>
      </c>
      <c r="L266" s="3">
        <v>37</v>
      </c>
      <c r="M266" s="3" t="s">
        <v>53</v>
      </c>
      <c r="N266" s="3" t="s">
        <v>49</v>
      </c>
      <c r="O266" s="3" t="s">
        <v>15</v>
      </c>
    </row>
    <row r="267" spans="1:15" x14ac:dyDescent="0.25">
      <c r="A267" s="3">
        <v>20919</v>
      </c>
      <c r="B267" s="3" t="s">
        <v>37</v>
      </c>
      <c r="C267" s="3" t="s">
        <v>39</v>
      </c>
      <c r="D267" s="4">
        <v>30000</v>
      </c>
      <c r="E267" s="3">
        <v>2</v>
      </c>
      <c r="F267" s="3" t="s">
        <v>19</v>
      </c>
      <c r="G267" s="3" t="s">
        <v>20</v>
      </c>
      <c r="H267" s="3" t="s">
        <v>15</v>
      </c>
      <c r="I267" s="3">
        <v>2</v>
      </c>
      <c r="J267" s="3" t="s">
        <v>16</v>
      </c>
      <c r="K267" s="3" t="s">
        <v>17</v>
      </c>
      <c r="L267" s="3">
        <v>42</v>
      </c>
      <c r="M267" s="3" t="s">
        <v>53</v>
      </c>
      <c r="N267" s="3" t="s">
        <v>49</v>
      </c>
      <c r="O267" s="3" t="s">
        <v>18</v>
      </c>
    </row>
    <row r="268" spans="1:15" x14ac:dyDescent="0.25">
      <c r="A268" s="3">
        <v>20927</v>
      </c>
      <c r="B268" s="3" t="s">
        <v>37</v>
      </c>
      <c r="C268" s="3" t="s">
        <v>39</v>
      </c>
      <c r="D268" s="4">
        <v>20000</v>
      </c>
      <c r="E268" s="3">
        <v>5</v>
      </c>
      <c r="F268" s="3" t="s">
        <v>27</v>
      </c>
      <c r="G268" s="3" t="s">
        <v>25</v>
      </c>
      <c r="H268" s="3" t="s">
        <v>15</v>
      </c>
      <c r="I268" s="3">
        <v>2</v>
      </c>
      <c r="J268" s="3" t="s">
        <v>16</v>
      </c>
      <c r="K268" s="3" t="s">
        <v>17</v>
      </c>
      <c r="L268" s="3">
        <v>27</v>
      </c>
      <c r="M268" s="3" t="s">
        <v>53</v>
      </c>
      <c r="N268" s="3" t="s">
        <v>49</v>
      </c>
      <c r="O268" s="3" t="s">
        <v>18</v>
      </c>
    </row>
    <row r="269" spans="1:15" x14ac:dyDescent="0.25">
      <c r="A269" s="3">
        <v>13133</v>
      </c>
      <c r="B269" s="3" t="s">
        <v>37</v>
      </c>
      <c r="C269" s="3" t="s">
        <v>38</v>
      </c>
      <c r="D269" s="4">
        <v>100000</v>
      </c>
      <c r="E269" s="3">
        <v>5</v>
      </c>
      <c r="F269" s="3" t="s">
        <v>13</v>
      </c>
      <c r="G269" s="3" t="s">
        <v>21</v>
      </c>
      <c r="H269" s="3" t="s">
        <v>15</v>
      </c>
      <c r="I269" s="3">
        <v>1</v>
      </c>
      <c r="J269" s="3" t="s">
        <v>23</v>
      </c>
      <c r="K269" s="3" t="s">
        <v>24</v>
      </c>
      <c r="L269" s="3">
        <v>47</v>
      </c>
      <c r="M269" s="3" t="s">
        <v>51</v>
      </c>
      <c r="N269" s="3" t="s">
        <v>48</v>
      </c>
      <c r="O269" s="3" t="s">
        <v>15</v>
      </c>
    </row>
    <row r="270" spans="1:15" x14ac:dyDescent="0.25">
      <c r="A270" s="3">
        <v>19626</v>
      </c>
      <c r="B270" s="3" t="s">
        <v>36</v>
      </c>
      <c r="C270" s="3" t="s">
        <v>38</v>
      </c>
      <c r="D270" s="4">
        <v>70000</v>
      </c>
      <c r="E270" s="3">
        <v>5</v>
      </c>
      <c r="F270" s="3" t="s">
        <v>19</v>
      </c>
      <c r="G270" s="3" t="s">
        <v>14</v>
      </c>
      <c r="H270" s="3" t="s">
        <v>15</v>
      </c>
      <c r="I270" s="3">
        <v>3</v>
      </c>
      <c r="J270" s="3" t="s">
        <v>23</v>
      </c>
      <c r="K270" s="3" t="s">
        <v>24</v>
      </c>
      <c r="L270" s="3">
        <v>45</v>
      </c>
      <c r="M270" s="3" t="s">
        <v>51</v>
      </c>
      <c r="N270" s="3" t="s">
        <v>48</v>
      </c>
      <c r="O270" s="3" t="s">
        <v>18</v>
      </c>
    </row>
    <row r="271" spans="1:15" x14ac:dyDescent="0.25">
      <c r="A271" s="3">
        <v>21039</v>
      </c>
      <c r="B271" s="3" t="s">
        <v>37</v>
      </c>
      <c r="C271" s="3" t="s">
        <v>39</v>
      </c>
      <c r="D271" s="4">
        <v>50000</v>
      </c>
      <c r="E271" s="3">
        <v>0</v>
      </c>
      <c r="F271" s="3" t="s">
        <v>31</v>
      </c>
      <c r="G271" s="3" t="s">
        <v>14</v>
      </c>
      <c r="H271" s="3" t="s">
        <v>18</v>
      </c>
      <c r="I271" s="3">
        <v>0</v>
      </c>
      <c r="J271" s="3" t="s">
        <v>16</v>
      </c>
      <c r="K271" s="3" t="s">
        <v>17</v>
      </c>
      <c r="L271" s="3">
        <v>37</v>
      </c>
      <c r="M271" s="3" t="s">
        <v>53</v>
      </c>
      <c r="N271" s="3" t="s">
        <v>49</v>
      </c>
      <c r="O271" s="3" t="s">
        <v>15</v>
      </c>
    </row>
    <row r="272" spans="1:15" x14ac:dyDescent="0.25">
      <c r="A272" s="3">
        <v>12231</v>
      </c>
      <c r="B272" s="3" t="s">
        <v>37</v>
      </c>
      <c r="C272" s="3" t="s">
        <v>39</v>
      </c>
      <c r="D272" s="4">
        <v>10000</v>
      </c>
      <c r="E272" s="3">
        <v>2</v>
      </c>
      <c r="F272" s="3" t="s">
        <v>19</v>
      </c>
      <c r="G272" s="3" t="s">
        <v>25</v>
      </c>
      <c r="H272" s="3" t="s">
        <v>15</v>
      </c>
      <c r="I272" s="3">
        <v>0</v>
      </c>
      <c r="J272" s="3" t="s">
        <v>16</v>
      </c>
      <c r="K272" s="3" t="s">
        <v>17</v>
      </c>
      <c r="L272" s="3">
        <v>51</v>
      </c>
      <c r="M272" s="3" t="s">
        <v>51</v>
      </c>
      <c r="N272" s="3" t="s">
        <v>48</v>
      </c>
      <c r="O272" s="3" t="s">
        <v>15</v>
      </c>
    </row>
    <row r="273" spans="1:15" x14ac:dyDescent="0.25">
      <c r="A273" s="3">
        <v>25665</v>
      </c>
      <c r="B273" s="3" t="s">
        <v>37</v>
      </c>
      <c r="C273" s="3" t="s">
        <v>39</v>
      </c>
      <c r="D273" s="4">
        <v>20000</v>
      </c>
      <c r="E273" s="3">
        <v>0</v>
      </c>
      <c r="F273" s="3" t="s">
        <v>27</v>
      </c>
      <c r="G273" s="3" t="s">
        <v>25</v>
      </c>
      <c r="H273" s="3" t="s">
        <v>18</v>
      </c>
      <c r="I273" s="3">
        <v>1</v>
      </c>
      <c r="J273" s="3" t="s">
        <v>26</v>
      </c>
      <c r="K273" s="3" t="s">
        <v>17</v>
      </c>
      <c r="L273" s="3">
        <v>28</v>
      </c>
      <c r="M273" s="3" t="s">
        <v>53</v>
      </c>
      <c r="N273" s="3" t="s">
        <v>49</v>
      </c>
      <c r="O273" s="3" t="s">
        <v>18</v>
      </c>
    </row>
    <row r="274" spans="1:15" x14ac:dyDescent="0.25">
      <c r="A274" s="3">
        <v>24061</v>
      </c>
      <c r="B274" s="3" t="s">
        <v>36</v>
      </c>
      <c r="C274" s="3" t="s">
        <v>38</v>
      </c>
      <c r="D274" s="4">
        <v>10000</v>
      </c>
      <c r="E274" s="3">
        <v>4</v>
      </c>
      <c r="F274" s="3" t="s">
        <v>29</v>
      </c>
      <c r="G274" s="3" t="s">
        <v>25</v>
      </c>
      <c r="H274" s="3" t="s">
        <v>15</v>
      </c>
      <c r="I274" s="3">
        <v>1</v>
      </c>
      <c r="J274" s="3" t="s">
        <v>16</v>
      </c>
      <c r="K274" s="3" t="s">
        <v>17</v>
      </c>
      <c r="L274" s="3">
        <v>40</v>
      </c>
      <c r="M274" s="3" t="s">
        <v>53</v>
      </c>
      <c r="N274" s="3" t="s">
        <v>49</v>
      </c>
      <c r="O274" s="3" t="s">
        <v>15</v>
      </c>
    </row>
    <row r="275" spans="1:15" x14ac:dyDescent="0.25">
      <c r="A275" s="3">
        <v>26879</v>
      </c>
      <c r="B275" s="3" t="s">
        <v>37</v>
      </c>
      <c r="C275" s="3" t="s">
        <v>39</v>
      </c>
      <c r="D275" s="4">
        <v>20000</v>
      </c>
      <c r="E275" s="3">
        <v>0</v>
      </c>
      <c r="F275" s="3" t="s">
        <v>27</v>
      </c>
      <c r="G275" s="3" t="s">
        <v>25</v>
      </c>
      <c r="H275" s="3" t="s">
        <v>18</v>
      </c>
      <c r="I275" s="3">
        <v>1</v>
      </c>
      <c r="J275" s="3" t="s">
        <v>22</v>
      </c>
      <c r="K275" s="3" t="s">
        <v>17</v>
      </c>
      <c r="L275" s="3">
        <v>30</v>
      </c>
      <c r="M275" s="3" t="s">
        <v>53</v>
      </c>
      <c r="N275" s="3" t="s">
        <v>49</v>
      </c>
      <c r="O275" s="3" t="s">
        <v>18</v>
      </c>
    </row>
    <row r="276" spans="1:15" x14ac:dyDescent="0.25">
      <c r="A276" s="3">
        <v>12284</v>
      </c>
      <c r="B276" s="3" t="s">
        <v>36</v>
      </c>
      <c r="C276" s="3" t="s">
        <v>39</v>
      </c>
      <c r="D276" s="4">
        <v>30000</v>
      </c>
      <c r="E276" s="3">
        <v>0</v>
      </c>
      <c r="F276" s="3" t="s">
        <v>13</v>
      </c>
      <c r="G276" s="3" t="s">
        <v>20</v>
      </c>
      <c r="H276" s="3" t="s">
        <v>18</v>
      </c>
      <c r="I276" s="3">
        <v>0</v>
      </c>
      <c r="J276" s="3" t="s">
        <v>16</v>
      </c>
      <c r="K276" s="3" t="s">
        <v>17</v>
      </c>
      <c r="L276" s="3">
        <v>36</v>
      </c>
      <c r="M276" s="3" t="s">
        <v>53</v>
      </c>
      <c r="N276" s="3" t="s">
        <v>49</v>
      </c>
      <c r="O276" s="3" t="s">
        <v>15</v>
      </c>
    </row>
    <row r="277" spans="1:15" x14ac:dyDescent="0.25">
      <c r="A277" s="3">
        <v>26654</v>
      </c>
      <c r="B277" s="3" t="s">
        <v>36</v>
      </c>
      <c r="C277" s="3" t="s">
        <v>39</v>
      </c>
      <c r="D277" s="4">
        <v>90000</v>
      </c>
      <c r="E277" s="3">
        <v>1</v>
      </c>
      <c r="F277" s="3" t="s">
        <v>31</v>
      </c>
      <c r="G277" s="3" t="s">
        <v>28</v>
      </c>
      <c r="H277" s="3" t="s">
        <v>15</v>
      </c>
      <c r="I277" s="3">
        <v>0</v>
      </c>
      <c r="J277" s="3" t="s">
        <v>16</v>
      </c>
      <c r="K277" s="3" t="s">
        <v>24</v>
      </c>
      <c r="L277" s="3">
        <v>37</v>
      </c>
      <c r="M277" s="3" t="s">
        <v>53</v>
      </c>
      <c r="N277" s="3" t="s">
        <v>49</v>
      </c>
      <c r="O277" s="3" t="s">
        <v>15</v>
      </c>
    </row>
    <row r="278" spans="1:15" x14ac:dyDescent="0.25">
      <c r="A278" s="3">
        <v>14545</v>
      </c>
      <c r="B278" s="3" t="s">
        <v>36</v>
      </c>
      <c r="C278" s="3" t="s">
        <v>39</v>
      </c>
      <c r="D278" s="4">
        <v>10000</v>
      </c>
      <c r="E278" s="3">
        <v>2</v>
      </c>
      <c r="F278" s="3" t="s">
        <v>19</v>
      </c>
      <c r="G278" s="3" t="s">
        <v>25</v>
      </c>
      <c r="H278" s="3" t="s">
        <v>15</v>
      </c>
      <c r="I278" s="3">
        <v>0</v>
      </c>
      <c r="J278" s="3" t="s">
        <v>26</v>
      </c>
      <c r="K278" s="3" t="s">
        <v>17</v>
      </c>
      <c r="L278" s="3">
        <v>49</v>
      </c>
      <c r="M278" s="3" t="s">
        <v>51</v>
      </c>
      <c r="N278" s="3" t="s">
        <v>48</v>
      </c>
      <c r="O278" s="3" t="s">
        <v>18</v>
      </c>
    </row>
    <row r="279" spans="1:15" x14ac:dyDescent="0.25">
      <c r="A279" s="3">
        <v>24201</v>
      </c>
      <c r="B279" s="3" t="s">
        <v>36</v>
      </c>
      <c r="C279" s="3" t="s">
        <v>39</v>
      </c>
      <c r="D279" s="4">
        <v>10000</v>
      </c>
      <c r="E279" s="3">
        <v>2</v>
      </c>
      <c r="F279" s="3" t="s">
        <v>27</v>
      </c>
      <c r="G279" s="3" t="s">
        <v>25</v>
      </c>
      <c r="H279" s="3" t="s">
        <v>15</v>
      </c>
      <c r="I279" s="3">
        <v>0</v>
      </c>
      <c r="J279" s="3" t="s">
        <v>16</v>
      </c>
      <c r="K279" s="3" t="s">
        <v>17</v>
      </c>
      <c r="L279" s="3">
        <v>37</v>
      </c>
      <c r="M279" s="3" t="s">
        <v>53</v>
      </c>
      <c r="N279" s="3" t="s">
        <v>49</v>
      </c>
      <c r="O279" s="3" t="s">
        <v>15</v>
      </c>
    </row>
    <row r="280" spans="1:15" x14ac:dyDescent="0.25">
      <c r="A280" s="3">
        <v>20625</v>
      </c>
      <c r="B280" s="3" t="s">
        <v>36</v>
      </c>
      <c r="C280" s="3" t="s">
        <v>38</v>
      </c>
      <c r="D280" s="4">
        <v>100000</v>
      </c>
      <c r="E280" s="3">
        <v>0</v>
      </c>
      <c r="F280" s="3" t="s">
        <v>27</v>
      </c>
      <c r="G280" s="3" t="s">
        <v>28</v>
      </c>
      <c r="H280" s="3" t="s">
        <v>15</v>
      </c>
      <c r="I280" s="3">
        <v>3</v>
      </c>
      <c r="J280" s="3" t="s">
        <v>46</v>
      </c>
      <c r="K280" s="3" t="s">
        <v>24</v>
      </c>
      <c r="L280" s="3">
        <v>35</v>
      </c>
      <c r="M280" s="3" t="s">
        <v>53</v>
      </c>
      <c r="N280" s="3" t="s">
        <v>49</v>
      </c>
      <c r="O280" s="3" t="s">
        <v>15</v>
      </c>
    </row>
    <row r="281" spans="1:15" x14ac:dyDescent="0.25">
      <c r="A281" s="3">
        <v>16390</v>
      </c>
      <c r="B281" s="3" t="s">
        <v>37</v>
      </c>
      <c r="C281" s="3" t="s">
        <v>38</v>
      </c>
      <c r="D281" s="4">
        <v>30000</v>
      </c>
      <c r="E281" s="3">
        <v>1</v>
      </c>
      <c r="F281" s="3" t="s">
        <v>13</v>
      </c>
      <c r="G281" s="3" t="s">
        <v>20</v>
      </c>
      <c r="H281" s="3" t="s">
        <v>18</v>
      </c>
      <c r="I281" s="3">
        <v>0</v>
      </c>
      <c r="J281" s="3" t="s">
        <v>16</v>
      </c>
      <c r="K281" s="3" t="s">
        <v>17</v>
      </c>
      <c r="L281" s="3">
        <v>38</v>
      </c>
      <c r="M281" s="3" t="s">
        <v>53</v>
      </c>
      <c r="N281" s="3" t="s">
        <v>49</v>
      </c>
      <c r="O281" s="3" t="s">
        <v>15</v>
      </c>
    </row>
    <row r="282" spans="1:15" x14ac:dyDescent="0.25">
      <c r="A282" s="3">
        <v>14804</v>
      </c>
      <c r="B282" s="3" t="s">
        <v>37</v>
      </c>
      <c r="C282" s="3" t="s">
        <v>39</v>
      </c>
      <c r="D282" s="4">
        <v>10000</v>
      </c>
      <c r="E282" s="3">
        <v>3</v>
      </c>
      <c r="F282" s="3" t="s">
        <v>29</v>
      </c>
      <c r="G282" s="3" t="s">
        <v>25</v>
      </c>
      <c r="H282" s="3" t="s">
        <v>15</v>
      </c>
      <c r="I282" s="3">
        <v>2</v>
      </c>
      <c r="J282" s="3" t="s">
        <v>16</v>
      </c>
      <c r="K282" s="3" t="s">
        <v>17</v>
      </c>
      <c r="L282" s="3">
        <v>43</v>
      </c>
      <c r="M282" s="3" t="s">
        <v>53</v>
      </c>
      <c r="N282" s="3" t="s">
        <v>49</v>
      </c>
      <c r="O282" s="3" t="s">
        <v>18</v>
      </c>
    </row>
    <row r="283" spans="1:15" x14ac:dyDescent="0.25">
      <c r="A283" s="3">
        <v>12629</v>
      </c>
      <c r="B283" s="3" t="s">
        <v>37</v>
      </c>
      <c r="C283" s="3" t="s">
        <v>38</v>
      </c>
      <c r="D283" s="4">
        <v>20000</v>
      </c>
      <c r="E283" s="3">
        <v>1</v>
      </c>
      <c r="F283" s="3" t="s">
        <v>19</v>
      </c>
      <c r="G283" s="3" t="s">
        <v>25</v>
      </c>
      <c r="H283" s="3" t="s">
        <v>18</v>
      </c>
      <c r="I283" s="3">
        <v>0</v>
      </c>
      <c r="J283" s="3" t="s">
        <v>16</v>
      </c>
      <c r="K283" s="3" t="s">
        <v>17</v>
      </c>
      <c r="L283" s="3">
        <v>37</v>
      </c>
      <c r="M283" s="3" t="s">
        <v>53</v>
      </c>
      <c r="N283" s="3" t="s">
        <v>49</v>
      </c>
      <c r="O283" s="3" t="s">
        <v>18</v>
      </c>
    </row>
    <row r="284" spans="1:15" x14ac:dyDescent="0.25">
      <c r="A284" s="3">
        <v>14696</v>
      </c>
      <c r="B284" s="3" t="s">
        <v>37</v>
      </c>
      <c r="C284" s="3" t="s">
        <v>38</v>
      </c>
      <c r="D284" s="4">
        <v>10000</v>
      </c>
      <c r="E284" s="3">
        <v>0</v>
      </c>
      <c r="F284" s="3" t="s">
        <v>29</v>
      </c>
      <c r="G284" s="3" t="s">
        <v>25</v>
      </c>
      <c r="H284" s="3" t="s">
        <v>18</v>
      </c>
      <c r="I284" s="3">
        <v>2</v>
      </c>
      <c r="J284" s="3" t="s">
        <v>16</v>
      </c>
      <c r="K284" s="3" t="s">
        <v>17</v>
      </c>
      <c r="L284" s="3">
        <v>34</v>
      </c>
      <c r="M284" s="3" t="s">
        <v>53</v>
      </c>
      <c r="N284" s="3" t="s">
        <v>49</v>
      </c>
      <c r="O284" s="3" t="s">
        <v>18</v>
      </c>
    </row>
    <row r="285" spans="1:15" x14ac:dyDescent="0.25">
      <c r="A285" s="3">
        <v>22005</v>
      </c>
      <c r="B285" s="3" t="s">
        <v>36</v>
      </c>
      <c r="C285" s="3" t="s">
        <v>39</v>
      </c>
      <c r="D285" s="4">
        <v>70000</v>
      </c>
      <c r="E285" s="3">
        <v>5</v>
      </c>
      <c r="F285" s="3" t="s">
        <v>19</v>
      </c>
      <c r="G285" s="3" t="s">
        <v>14</v>
      </c>
      <c r="H285" s="3" t="s">
        <v>18</v>
      </c>
      <c r="I285" s="3">
        <v>3</v>
      </c>
      <c r="J285" s="3" t="s">
        <v>23</v>
      </c>
      <c r="K285" s="3" t="s">
        <v>24</v>
      </c>
      <c r="L285" s="3">
        <v>46</v>
      </c>
      <c r="M285" s="3" t="s">
        <v>51</v>
      </c>
      <c r="N285" s="3" t="s">
        <v>48</v>
      </c>
      <c r="O285" s="3" t="s">
        <v>18</v>
      </c>
    </row>
    <row r="286" spans="1:15" x14ac:dyDescent="0.25">
      <c r="A286" s="3">
        <v>14544</v>
      </c>
      <c r="B286" s="3" t="s">
        <v>37</v>
      </c>
      <c r="C286" s="3" t="s">
        <v>38</v>
      </c>
      <c r="D286" s="4">
        <v>10000</v>
      </c>
      <c r="E286" s="3">
        <v>1</v>
      </c>
      <c r="F286" s="3" t="s">
        <v>19</v>
      </c>
      <c r="G286" s="3" t="s">
        <v>25</v>
      </c>
      <c r="H286" s="3" t="s">
        <v>15</v>
      </c>
      <c r="I286" s="3">
        <v>0</v>
      </c>
      <c r="J286" s="3" t="s">
        <v>16</v>
      </c>
      <c r="K286" s="3" t="s">
        <v>17</v>
      </c>
      <c r="L286" s="3">
        <v>49</v>
      </c>
      <c r="M286" s="3" t="s">
        <v>51</v>
      </c>
      <c r="N286" s="3" t="s">
        <v>48</v>
      </c>
      <c r="O286" s="3" t="s">
        <v>18</v>
      </c>
    </row>
    <row r="287" spans="1:15" x14ac:dyDescent="0.25">
      <c r="A287" s="3">
        <v>14312</v>
      </c>
      <c r="B287" s="3" t="s">
        <v>36</v>
      </c>
      <c r="C287" s="3" t="s">
        <v>39</v>
      </c>
      <c r="D287" s="4">
        <v>60000</v>
      </c>
      <c r="E287" s="3">
        <v>1</v>
      </c>
      <c r="F287" s="3" t="s">
        <v>19</v>
      </c>
      <c r="G287" s="3" t="s">
        <v>14</v>
      </c>
      <c r="H287" s="3" t="s">
        <v>15</v>
      </c>
      <c r="I287" s="3">
        <v>1</v>
      </c>
      <c r="J287" s="3" t="s">
        <v>23</v>
      </c>
      <c r="K287" s="3" t="s">
        <v>24</v>
      </c>
      <c r="L287" s="3">
        <v>45</v>
      </c>
      <c r="M287" s="3" t="s">
        <v>51</v>
      </c>
      <c r="N287" s="3" t="s">
        <v>48</v>
      </c>
      <c r="O287" s="3" t="s">
        <v>18</v>
      </c>
    </row>
    <row r="288" spans="1:15" x14ac:dyDescent="0.25">
      <c r="A288" s="3">
        <v>29120</v>
      </c>
      <c r="B288" s="3" t="s">
        <v>37</v>
      </c>
      <c r="C288" s="3" t="s">
        <v>39</v>
      </c>
      <c r="D288" s="4">
        <v>100000</v>
      </c>
      <c r="E288" s="3">
        <v>1</v>
      </c>
      <c r="F288" s="3" t="s">
        <v>13</v>
      </c>
      <c r="G288" s="3" t="s">
        <v>28</v>
      </c>
      <c r="H288" s="3" t="s">
        <v>15</v>
      </c>
      <c r="I288" s="3">
        <v>4</v>
      </c>
      <c r="J288" s="3" t="s">
        <v>22</v>
      </c>
      <c r="K288" s="3" t="s">
        <v>24</v>
      </c>
      <c r="L288" s="3">
        <v>48</v>
      </c>
      <c r="M288" s="3" t="s">
        <v>51</v>
      </c>
      <c r="N288" s="3" t="s">
        <v>48</v>
      </c>
      <c r="O288" s="3" t="s">
        <v>18</v>
      </c>
    </row>
    <row r="289" spans="1:15" x14ac:dyDescent="0.25">
      <c r="A289" s="3">
        <v>24187</v>
      </c>
      <c r="B289" s="3" t="s">
        <v>37</v>
      </c>
      <c r="C289" s="3" t="s">
        <v>39</v>
      </c>
      <c r="D289" s="4">
        <v>30000</v>
      </c>
      <c r="E289" s="3">
        <v>3</v>
      </c>
      <c r="F289" s="3" t="s">
        <v>31</v>
      </c>
      <c r="G289" s="3" t="s">
        <v>20</v>
      </c>
      <c r="H289" s="3" t="s">
        <v>18</v>
      </c>
      <c r="I289" s="3">
        <v>0</v>
      </c>
      <c r="J289" s="3" t="s">
        <v>16</v>
      </c>
      <c r="K289" s="3" t="s">
        <v>17</v>
      </c>
      <c r="L289" s="3">
        <v>46</v>
      </c>
      <c r="M289" s="3" t="s">
        <v>51</v>
      </c>
      <c r="N289" s="3" t="s">
        <v>48</v>
      </c>
      <c r="O289" s="3" t="s">
        <v>15</v>
      </c>
    </row>
    <row r="290" spans="1:15" x14ac:dyDescent="0.25">
      <c r="A290" s="3">
        <v>15758</v>
      </c>
      <c r="B290" s="3" t="s">
        <v>36</v>
      </c>
      <c r="C290" s="3" t="s">
        <v>38</v>
      </c>
      <c r="D290" s="4">
        <v>130000</v>
      </c>
      <c r="E290" s="3">
        <v>0</v>
      </c>
      <c r="F290" s="3" t="s">
        <v>31</v>
      </c>
      <c r="G290" s="3" t="s">
        <v>28</v>
      </c>
      <c r="H290" s="3" t="s">
        <v>15</v>
      </c>
      <c r="I290" s="3">
        <v>0</v>
      </c>
      <c r="J290" s="3" t="s">
        <v>23</v>
      </c>
      <c r="K290" s="3" t="s">
        <v>24</v>
      </c>
      <c r="L290" s="3">
        <v>48</v>
      </c>
      <c r="M290" s="3" t="s">
        <v>51</v>
      </c>
      <c r="N290" s="3" t="s">
        <v>48</v>
      </c>
      <c r="O290" s="3" t="s">
        <v>18</v>
      </c>
    </row>
    <row r="291" spans="1:15" x14ac:dyDescent="0.25">
      <c r="A291" s="3">
        <v>29094</v>
      </c>
      <c r="B291" s="3" t="s">
        <v>36</v>
      </c>
      <c r="C291" s="3" t="s">
        <v>38</v>
      </c>
      <c r="D291" s="4">
        <v>30000</v>
      </c>
      <c r="E291" s="3">
        <v>3</v>
      </c>
      <c r="F291" s="3" t="s">
        <v>27</v>
      </c>
      <c r="G291" s="3" t="s">
        <v>14</v>
      </c>
      <c r="H291" s="3" t="s">
        <v>15</v>
      </c>
      <c r="I291" s="3">
        <v>2</v>
      </c>
      <c r="J291" s="3" t="s">
        <v>23</v>
      </c>
      <c r="K291" s="3" t="s">
        <v>24</v>
      </c>
      <c r="L291" s="3">
        <v>54</v>
      </c>
      <c r="M291" s="3" t="s">
        <v>51</v>
      </c>
      <c r="N291" s="3" t="s">
        <v>48</v>
      </c>
      <c r="O291" s="3" t="s">
        <v>15</v>
      </c>
    </row>
    <row r="292" spans="1:15" x14ac:dyDescent="0.25">
      <c r="A292" s="3">
        <v>28319</v>
      </c>
      <c r="B292" s="3" t="s">
        <v>37</v>
      </c>
      <c r="C292" s="3" t="s">
        <v>39</v>
      </c>
      <c r="D292" s="4">
        <v>60000</v>
      </c>
      <c r="E292" s="3">
        <v>1</v>
      </c>
      <c r="F292" s="3" t="s">
        <v>19</v>
      </c>
      <c r="G292" s="3" t="s">
        <v>14</v>
      </c>
      <c r="H292" s="3" t="s">
        <v>18</v>
      </c>
      <c r="I292" s="3">
        <v>1</v>
      </c>
      <c r="J292" s="3" t="s">
        <v>16</v>
      </c>
      <c r="K292" s="3" t="s">
        <v>24</v>
      </c>
      <c r="L292" s="3">
        <v>46</v>
      </c>
      <c r="M292" s="3" t="s">
        <v>51</v>
      </c>
      <c r="N292" s="3" t="s">
        <v>48</v>
      </c>
      <c r="O292" s="3" t="s">
        <v>15</v>
      </c>
    </row>
    <row r="293" spans="1:15" x14ac:dyDescent="0.25">
      <c r="A293" s="3">
        <v>16406</v>
      </c>
      <c r="B293" s="3" t="s">
        <v>36</v>
      </c>
      <c r="C293" s="3" t="s">
        <v>38</v>
      </c>
      <c r="D293" s="4">
        <v>40000</v>
      </c>
      <c r="E293" s="3">
        <v>0</v>
      </c>
      <c r="F293" s="3" t="s">
        <v>13</v>
      </c>
      <c r="G293" s="3" t="s">
        <v>20</v>
      </c>
      <c r="H293" s="3" t="s">
        <v>18</v>
      </c>
      <c r="I293" s="3">
        <v>0</v>
      </c>
      <c r="J293" s="3" t="s">
        <v>16</v>
      </c>
      <c r="K293" s="3" t="s">
        <v>17</v>
      </c>
      <c r="L293" s="3">
        <v>38</v>
      </c>
      <c r="M293" s="3" t="s">
        <v>53</v>
      </c>
      <c r="N293" s="3" t="s">
        <v>49</v>
      </c>
      <c r="O293" s="3" t="s">
        <v>15</v>
      </c>
    </row>
    <row r="294" spans="1:15" x14ac:dyDescent="0.25">
      <c r="A294" s="3">
        <v>20923</v>
      </c>
      <c r="B294" s="3" t="s">
        <v>36</v>
      </c>
      <c r="C294" s="3" t="s">
        <v>39</v>
      </c>
      <c r="D294" s="4">
        <v>40000</v>
      </c>
      <c r="E294" s="3">
        <v>1</v>
      </c>
      <c r="F294" s="3" t="s">
        <v>13</v>
      </c>
      <c r="G294" s="3" t="s">
        <v>14</v>
      </c>
      <c r="H294" s="3" t="s">
        <v>15</v>
      </c>
      <c r="I294" s="3">
        <v>0</v>
      </c>
      <c r="J294" s="3" t="s">
        <v>16</v>
      </c>
      <c r="K294" s="3" t="s">
        <v>17</v>
      </c>
      <c r="L294" s="3">
        <v>42</v>
      </c>
      <c r="M294" s="3" t="s">
        <v>53</v>
      </c>
      <c r="N294" s="3" t="s">
        <v>49</v>
      </c>
      <c r="O294" s="3" t="s">
        <v>15</v>
      </c>
    </row>
    <row r="295" spans="1:15" x14ac:dyDescent="0.25">
      <c r="A295" s="3">
        <v>11378</v>
      </c>
      <c r="B295" s="3" t="s">
        <v>37</v>
      </c>
      <c r="C295" s="3" t="s">
        <v>39</v>
      </c>
      <c r="D295" s="4">
        <v>10000</v>
      </c>
      <c r="E295" s="3">
        <v>1</v>
      </c>
      <c r="F295" s="3" t="s">
        <v>27</v>
      </c>
      <c r="G295" s="3" t="s">
        <v>25</v>
      </c>
      <c r="H295" s="3" t="s">
        <v>18</v>
      </c>
      <c r="I295" s="3">
        <v>1</v>
      </c>
      <c r="J295" s="3" t="s">
        <v>22</v>
      </c>
      <c r="K295" s="3" t="s">
        <v>17</v>
      </c>
      <c r="L295" s="3">
        <v>46</v>
      </c>
      <c r="M295" s="3" t="s">
        <v>51</v>
      </c>
      <c r="N295" s="3" t="s">
        <v>48</v>
      </c>
      <c r="O295" s="3" t="s">
        <v>15</v>
      </c>
    </row>
    <row r="296" spans="1:15" x14ac:dyDescent="0.25">
      <c r="A296" s="3">
        <v>20851</v>
      </c>
      <c r="B296" s="3" t="s">
        <v>37</v>
      </c>
      <c r="C296" s="3" t="s">
        <v>38</v>
      </c>
      <c r="D296" s="4">
        <v>20000</v>
      </c>
      <c r="E296" s="3">
        <v>0</v>
      </c>
      <c r="F296" s="3" t="s">
        <v>19</v>
      </c>
      <c r="G296" s="3" t="s">
        <v>25</v>
      </c>
      <c r="H296" s="3" t="s">
        <v>18</v>
      </c>
      <c r="I296" s="3">
        <v>1</v>
      </c>
      <c r="J296" s="3" t="s">
        <v>22</v>
      </c>
      <c r="K296" s="3" t="s">
        <v>17</v>
      </c>
      <c r="L296" s="3">
        <v>36</v>
      </c>
      <c r="M296" s="3" t="s">
        <v>53</v>
      </c>
      <c r="N296" s="3" t="s">
        <v>49</v>
      </c>
      <c r="O296" s="3" t="s">
        <v>15</v>
      </c>
    </row>
    <row r="297" spans="1:15" x14ac:dyDescent="0.25">
      <c r="A297" s="3">
        <v>21557</v>
      </c>
      <c r="B297" s="3" t="s">
        <v>37</v>
      </c>
      <c r="C297" s="3" t="s">
        <v>39</v>
      </c>
      <c r="D297" s="4">
        <v>110000</v>
      </c>
      <c r="E297" s="3">
        <v>0</v>
      </c>
      <c r="F297" s="3" t="s">
        <v>19</v>
      </c>
      <c r="G297" s="3" t="s">
        <v>28</v>
      </c>
      <c r="H297" s="3" t="s">
        <v>15</v>
      </c>
      <c r="I297" s="3">
        <v>3</v>
      </c>
      <c r="J297" s="3" t="s">
        <v>46</v>
      </c>
      <c r="K297" s="3" t="s">
        <v>24</v>
      </c>
      <c r="L297" s="3">
        <v>32</v>
      </c>
      <c r="M297" s="3" t="s">
        <v>53</v>
      </c>
      <c r="N297" s="3" t="s">
        <v>49</v>
      </c>
      <c r="O297" s="3" t="s">
        <v>15</v>
      </c>
    </row>
    <row r="298" spans="1:15" x14ac:dyDescent="0.25">
      <c r="A298" s="3">
        <v>26663</v>
      </c>
      <c r="B298" s="3" t="s">
        <v>37</v>
      </c>
      <c r="C298" s="3" t="s">
        <v>39</v>
      </c>
      <c r="D298" s="4">
        <v>60000</v>
      </c>
      <c r="E298" s="3">
        <v>2</v>
      </c>
      <c r="F298" s="3" t="s">
        <v>13</v>
      </c>
      <c r="G298" s="3" t="s">
        <v>21</v>
      </c>
      <c r="H298" s="3" t="s">
        <v>18</v>
      </c>
      <c r="I298" s="3">
        <v>1</v>
      </c>
      <c r="J298" s="3" t="s">
        <v>16</v>
      </c>
      <c r="K298" s="3" t="s">
        <v>24</v>
      </c>
      <c r="L298" s="3">
        <v>39</v>
      </c>
      <c r="M298" s="3" t="s">
        <v>53</v>
      </c>
      <c r="N298" s="3" t="s">
        <v>49</v>
      </c>
      <c r="O298" s="3" t="s">
        <v>15</v>
      </c>
    </row>
    <row r="299" spans="1:15" x14ac:dyDescent="0.25">
      <c r="A299" s="3">
        <v>11896</v>
      </c>
      <c r="B299" s="3" t="s">
        <v>36</v>
      </c>
      <c r="C299" s="3" t="s">
        <v>38</v>
      </c>
      <c r="D299" s="4">
        <v>100000</v>
      </c>
      <c r="E299" s="3">
        <v>1</v>
      </c>
      <c r="F299" s="3" t="s">
        <v>31</v>
      </c>
      <c r="G299" s="3" t="s">
        <v>28</v>
      </c>
      <c r="H299" s="3" t="s">
        <v>15</v>
      </c>
      <c r="I299" s="3">
        <v>0</v>
      </c>
      <c r="J299" s="3" t="s">
        <v>22</v>
      </c>
      <c r="K299" s="3" t="s">
        <v>24</v>
      </c>
      <c r="L299" s="3">
        <v>36</v>
      </c>
      <c r="M299" s="3" t="s">
        <v>53</v>
      </c>
      <c r="N299" s="3" t="s">
        <v>49</v>
      </c>
      <c r="O299" s="3" t="s">
        <v>15</v>
      </c>
    </row>
    <row r="300" spans="1:15" x14ac:dyDescent="0.25">
      <c r="A300" s="3">
        <v>14189</v>
      </c>
      <c r="B300" s="3" t="s">
        <v>36</v>
      </c>
      <c r="C300" s="3" t="s">
        <v>39</v>
      </c>
      <c r="D300" s="4">
        <v>90000</v>
      </c>
      <c r="E300" s="3">
        <v>4</v>
      </c>
      <c r="F300" s="3" t="s">
        <v>27</v>
      </c>
      <c r="G300" s="3" t="s">
        <v>21</v>
      </c>
      <c r="H300" s="3" t="s">
        <v>18</v>
      </c>
      <c r="I300" s="3">
        <v>2</v>
      </c>
      <c r="J300" s="3" t="s">
        <v>22</v>
      </c>
      <c r="K300" s="3" t="s">
        <v>17</v>
      </c>
      <c r="L300" s="3">
        <v>54</v>
      </c>
      <c r="M300" s="3" t="s">
        <v>51</v>
      </c>
      <c r="N300" s="3" t="s">
        <v>48</v>
      </c>
      <c r="O300" s="3" t="s">
        <v>15</v>
      </c>
    </row>
    <row r="301" spans="1:15" x14ac:dyDescent="0.25">
      <c r="A301" s="3">
        <v>13136</v>
      </c>
      <c r="B301" s="3" t="s">
        <v>36</v>
      </c>
      <c r="C301" s="3" t="s">
        <v>39</v>
      </c>
      <c r="D301" s="4">
        <v>30000</v>
      </c>
      <c r="E301" s="3">
        <v>2</v>
      </c>
      <c r="F301" s="3" t="s">
        <v>19</v>
      </c>
      <c r="G301" s="3" t="s">
        <v>20</v>
      </c>
      <c r="H301" s="3" t="s">
        <v>18</v>
      </c>
      <c r="I301" s="3">
        <v>2</v>
      </c>
      <c r="J301" s="3" t="s">
        <v>23</v>
      </c>
      <c r="K301" s="3" t="s">
        <v>24</v>
      </c>
      <c r="L301" s="3">
        <v>69</v>
      </c>
      <c r="M301" s="3" t="s">
        <v>54</v>
      </c>
      <c r="N301" s="3" t="s">
        <v>50</v>
      </c>
      <c r="O301" s="3" t="s">
        <v>18</v>
      </c>
    </row>
    <row r="302" spans="1:15" x14ac:dyDescent="0.25">
      <c r="A302" s="3">
        <v>25906</v>
      </c>
      <c r="B302" s="3" t="s">
        <v>37</v>
      </c>
      <c r="C302" s="3" t="s">
        <v>39</v>
      </c>
      <c r="D302" s="4">
        <v>10000</v>
      </c>
      <c r="E302" s="3">
        <v>5</v>
      </c>
      <c r="F302" s="3" t="s">
        <v>27</v>
      </c>
      <c r="G302" s="3" t="s">
        <v>14</v>
      </c>
      <c r="H302" s="3" t="s">
        <v>18</v>
      </c>
      <c r="I302" s="3">
        <v>2</v>
      </c>
      <c r="J302" s="3" t="s">
        <v>26</v>
      </c>
      <c r="K302" s="3" t="s">
        <v>24</v>
      </c>
      <c r="L302" s="3">
        <v>62</v>
      </c>
      <c r="M302" s="3" t="s">
        <v>54</v>
      </c>
      <c r="N302" s="3" t="s">
        <v>50</v>
      </c>
      <c r="O302" s="3" t="s">
        <v>18</v>
      </c>
    </row>
    <row r="303" spans="1:15" x14ac:dyDescent="0.25">
      <c r="A303" s="3">
        <v>17926</v>
      </c>
      <c r="B303" s="3" t="s">
        <v>37</v>
      </c>
      <c r="C303" s="3" t="s">
        <v>39</v>
      </c>
      <c r="D303" s="4">
        <v>40000</v>
      </c>
      <c r="E303" s="3">
        <v>0</v>
      </c>
      <c r="F303" s="3" t="s">
        <v>13</v>
      </c>
      <c r="G303" s="3" t="s">
        <v>20</v>
      </c>
      <c r="H303" s="3" t="s">
        <v>18</v>
      </c>
      <c r="I303" s="3">
        <v>0</v>
      </c>
      <c r="J303" s="3" t="s">
        <v>16</v>
      </c>
      <c r="K303" s="3" t="s">
        <v>24</v>
      </c>
      <c r="L303" s="3">
        <v>28</v>
      </c>
      <c r="M303" s="3" t="s">
        <v>53</v>
      </c>
      <c r="N303" s="3" t="s">
        <v>49</v>
      </c>
      <c r="O303" s="3" t="s">
        <v>15</v>
      </c>
    </row>
    <row r="304" spans="1:15" x14ac:dyDescent="0.25">
      <c r="A304" s="3">
        <v>26928</v>
      </c>
      <c r="B304" s="3" t="s">
        <v>37</v>
      </c>
      <c r="C304" s="3" t="s">
        <v>38</v>
      </c>
      <c r="D304" s="4">
        <v>30000</v>
      </c>
      <c r="E304" s="3">
        <v>1</v>
      </c>
      <c r="F304" s="3" t="s">
        <v>13</v>
      </c>
      <c r="G304" s="3" t="s">
        <v>20</v>
      </c>
      <c r="H304" s="3" t="s">
        <v>15</v>
      </c>
      <c r="I304" s="3">
        <v>0</v>
      </c>
      <c r="J304" s="3" t="s">
        <v>16</v>
      </c>
      <c r="K304" s="3" t="s">
        <v>17</v>
      </c>
      <c r="L304" s="3">
        <v>62</v>
      </c>
      <c r="M304" s="3" t="s">
        <v>54</v>
      </c>
      <c r="N304" s="3" t="s">
        <v>50</v>
      </c>
      <c r="O304" s="3" t="s">
        <v>15</v>
      </c>
    </row>
    <row r="305" spans="1:15" x14ac:dyDescent="0.25">
      <c r="A305" s="3">
        <v>20897</v>
      </c>
      <c r="B305" s="3" t="s">
        <v>36</v>
      </c>
      <c r="C305" s="3" t="s">
        <v>39</v>
      </c>
      <c r="D305" s="4">
        <v>30000</v>
      </c>
      <c r="E305" s="3">
        <v>1</v>
      </c>
      <c r="F305" s="3" t="s">
        <v>13</v>
      </c>
      <c r="G305" s="3" t="s">
        <v>14</v>
      </c>
      <c r="H305" s="3" t="s">
        <v>15</v>
      </c>
      <c r="I305" s="3">
        <v>2</v>
      </c>
      <c r="J305" s="3" t="s">
        <v>16</v>
      </c>
      <c r="K305" s="3" t="s">
        <v>17</v>
      </c>
      <c r="L305" s="3">
        <v>40</v>
      </c>
      <c r="M305" s="3" t="s">
        <v>53</v>
      </c>
      <c r="N305" s="3" t="s">
        <v>49</v>
      </c>
      <c r="O305" s="3" t="s">
        <v>18</v>
      </c>
    </row>
    <row r="306" spans="1:15" x14ac:dyDescent="0.25">
      <c r="A306" s="3">
        <v>28207</v>
      </c>
      <c r="B306" s="3" t="s">
        <v>36</v>
      </c>
      <c r="C306" s="3" t="s">
        <v>38</v>
      </c>
      <c r="D306" s="4">
        <v>80000</v>
      </c>
      <c r="E306" s="3">
        <v>4</v>
      </c>
      <c r="F306" s="3" t="s">
        <v>31</v>
      </c>
      <c r="G306" s="3" t="s">
        <v>28</v>
      </c>
      <c r="H306" s="3" t="s">
        <v>15</v>
      </c>
      <c r="I306" s="3">
        <v>1</v>
      </c>
      <c r="J306" s="3" t="s">
        <v>16</v>
      </c>
      <c r="K306" s="3" t="s">
        <v>24</v>
      </c>
      <c r="L306" s="3">
        <v>36</v>
      </c>
      <c r="M306" s="3" t="s">
        <v>53</v>
      </c>
      <c r="N306" s="3" t="s">
        <v>49</v>
      </c>
      <c r="O306" s="3" t="s">
        <v>15</v>
      </c>
    </row>
    <row r="307" spans="1:15" x14ac:dyDescent="0.25">
      <c r="A307" s="3">
        <v>25923</v>
      </c>
      <c r="B307" s="3" t="s">
        <v>37</v>
      </c>
      <c r="C307" s="3" t="s">
        <v>38</v>
      </c>
      <c r="D307" s="4">
        <v>10000</v>
      </c>
      <c r="E307" s="3">
        <v>2</v>
      </c>
      <c r="F307" s="3" t="s">
        <v>29</v>
      </c>
      <c r="G307" s="3" t="s">
        <v>20</v>
      </c>
      <c r="H307" s="3" t="s">
        <v>15</v>
      </c>
      <c r="I307" s="3">
        <v>2</v>
      </c>
      <c r="J307" s="3" t="s">
        <v>23</v>
      </c>
      <c r="K307" s="3" t="s">
        <v>24</v>
      </c>
      <c r="L307" s="3">
        <v>58</v>
      </c>
      <c r="M307" s="3" t="s">
        <v>54</v>
      </c>
      <c r="N307" s="3" t="s">
        <v>50</v>
      </c>
      <c r="O307" s="3" t="s">
        <v>18</v>
      </c>
    </row>
    <row r="308" spans="1:15" x14ac:dyDescent="0.25">
      <c r="A308" s="3">
        <v>11000</v>
      </c>
      <c r="B308" s="3" t="s">
        <v>36</v>
      </c>
      <c r="C308" s="3" t="s">
        <v>38</v>
      </c>
      <c r="D308" s="4">
        <v>90000</v>
      </c>
      <c r="E308" s="3">
        <v>2</v>
      </c>
      <c r="F308" s="3" t="s">
        <v>13</v>
      </c>
      <c r="G308" s="3" t="s">
        <v>21</v>
      </c>
      <c r="H308" s="3" t="s">
        <v>15</v>
      </c>
      <c r="I308" s="3">
        <v>0</v>
      </c>
      <c r="J308" s="3" t="s">
        <v>26</v>
      </c>
      <c r="K308" s="3" t="s">
        <v>24</v>
      </c>
      <c r="L308" s="3">
        <v>40</v>
      </c>
      <c r="M308" s="3" t="s">
        <v>53</v>
      </c>
      <c r="N308" s="3" t="s">
        <v>49</v>
      </c>
      <c r="O308" s="3" t="s">
        <v>15</v>
      </c>
    </row>
    <row r="309" spans="1:15" x14ac:dyDescent="0.25">
      <c r="A309" s="3">
        <v>20974</v>
      </c>
      <c r="B309" s="3" t="s">
        <v>36</v>
      </c>
      <c r="C309" s="3" t="s">
        <v>38</v>
      </c>
      <c r="D309" s="4">
        <v>10000</v>
      </c>
      <c r="E309" s="3">
        <v>2</v>
      </c>
      <c r="F309" s="3" t="s">
        <v>13</v>
      </c>
      <c r="G309" s="3" t="s">
        <v>20</v>
      </c>
      <c r="H309" s="3" t="s">
        <v>15</v>
      </c>
      <c r="I309" s="3">
        <v>1</v>
      </c>
      <c r="J309" s="3" t="s">
        <v>16</v>
      </c>
      <c r="K309" s="3" t="s">
        <v>17</v>
      </c>
      <c r="L309" s="3">
        <v>66</v>
      </c>
      <c r="M309" s="3" t="s">
        <v>54</v>
      </c>
      <c r="N309" s="3" t="s">
        <v>50</v>
      </c>
      <c r="O309" s="3" t="s">
        <v>18</v>
      </c>
    </row>
    <row r="310" spans="1:15" x14ac:dyDescent="0.25">
      <c r="A310" s="3">
        <v>28758</v>
      </c>
      <c r="B310" s="3" t="s">
        <v>36</v>
      </c>
      <c r="C310" s="3" t="s">
        <v>38</v>
      </c>
      <c r="D310" s="4">
        <v>40000</v>
      </c>
      <c r="E310" s="3">
        <v>2</v>
      </c>
      <c r="F310" s="3" t="s">
        <v>19</v>
      </c>
      <c r="G310" s="3" t="s">
        <v>20</v>
      </c>
      <c r="H310" s="3" t="s">
        <v>15</v>
      </c>
      <c r="I310" s="3">
        <v>1</v>
      </c>
      <c r="J310" s="3" t="s">
        <v>26</v>
      </c>
      <c r="K310" s="3" t="s">
        <v>17</v>
      </c>
      <c r="L310" s="3">
        <v>35</v>
      </c>
      <c r="M310" s="3" t="s">
        <v>53</v>
      </c>
      <c r="N310" s="3" t="s">
        <v>49</v>
      </c>
      <c r="O310" s="3" t="s">
        <v>15</v>
      </c>
    </row>
    <row r="311" spans="1:15" x14ac:dyDescent="0.25">
      <c r="A311" s="3">
        <v>11381</v>
      </c>
      <c r="B311" s="3" t="s">
        <v>36</v>
      </c>
      <c r="C311" s="3" t="s">
        <v>39</v>
      </c>
      <c r="D311" s="4">
        <v>20000</v>
      </c>
      <c r="E311" s="3">
        <v>2</v>
      </c>
      <c r="F311" s="3" t="s">
        <v>19</v>
      </c>
      <c r="G311" s="3" t="s">
        <v>25</v>
      </c>
      <c r="H311" s="3" t="s">
        <v>15</v>
      </c>
      <c r="I311" s="3">
        <v>1</v>
      </c>
      <c r="J311" s="3" t="s">
        <v>22</v>
      </c>
      <c r="K311" s="3" t="s">
        <v>17</v>
      </c>
      <c r="L311" s="3">
        <v>47</v>
      </c>
      <c r="M311" s="3" t="s">
        <v>51</v>
      </c>
      <c r="N311" s="3" t="s">
        <v>48</v>
      </c>
      <c r="O311" s="3" t="s">
        <v>15</v>
      </c>
    </row>
    <row r="312" spans="1:15" x14ac:dyDescent="0.25">
      <c r="A312" s="3">
        <v>17522</v>
      </c>
      <c r="B312" s="3" t="s">
        <v>36</v>
      </c>
      <c r="C312" s="3" t="s">
        <v>38</v>
      </c>
      <c r="D312" s="4">
        <v>120000</v>
      </c>
      <c r="E312" s="3">
        <v>4</v>
      </c>
      <c r="F312" s="3" t="s">
        <v>13</v>
      </c>
      <c r="G312" s="3" t="s">
        <v>28</v>
      </c>
      <c r="H312" s="3" t="s">
        <v>15</v>
      </c>
      <c r="I312" s="3">
        <v>1</v>
      </c>
      <c r="J312" s="3" t="s">
        <v>22</v>
      </c>
      <c r="K312" s="3" t="s">
        <v>24</v>
      </c>
      <c r="L312" s="3">
        <v>47</v>
      </c>
      <c r="M312" s="3" t="s">
        <v>51</v>
      </c>
      <c r="N312" s="3" t="s">
        <v>48</v>
      </c>
      <c r="O312" s="3" t="s">
        <v>18</v>
      </c>
    </row>
    <row r="313" spans="1:15" x14ac:dyDescent="0.25">
      <c r="A313" s="3">
        <v>21207</v>
      </c>
      <c r="B313" s="3" t="s">
        <v>36</v>
      </c>
      <c r="C313" s="3" t="s">
        <v>38</v>
      </c>
      <c r="D313" s="4">
        <v>60000</v>
      </c>
      <c r="E313" s="3">
        <v>1</v>
      </c>
      <c r="F313" s="3" t="s">
        <v>19</v>
      </c>
      <c r="G313" s="3" t="s">
        <v>14</v>
      </c>
      <c r="H313" s="3" t="s">
        <v>15</v>
      </c>
      <c r="I313" s="3">
        <v>1</v>
      </c>
      <c r="J313" s="3" t="s">
        <v>23</v>
      </c>
      <c r="K313" s="3" t="s">
        <v>24</v>
      </c>
      <c r="L313" s="3">
        <v>46</v>
      </c>
      <c r="M313" s="3" t="s">
        <v>51</v>
      </c>
      <c r="N313" s="3" t="s">
        <v>48</v>
      </c>
      <c r="O313" s="3" t="s">
        <v>18</v>
      </c>
    </row>
    <row r="314" spans="1:15" x14ac:dyDescent="0.25">
      <c r="A314" s="3">
        <v>28102</v>
      </c>
      <c r="B314" s="3" t="s">
        <v>36</v>
      </c>
      <c r="C314" s="3" t="s">
        <v>38</v>
      </c>
      <c r="D314" s="4">
        <v>20000</v>
      </c>
      <c r="E314" s="3">
        <v>4</v>
      </c>
      <c r="F314" s="3" t="s">
        <v>27</v>
      </c>
      <c r="G314" s="3" t="s">
        <v>14</v>
      </c>
      <c r="H314" s="3" t="s">
        <v>15</v>
      </c>
      <c r="I314" s="3">
        <v>2</v>
      </c>
      <c r="J314" s="3" t="s">
        <v>23</v>
      </c>
      <c r="K314" s="3" t="s">
        <v>24</v>
      </c>
      <c r="L314" s="3">
        <v>58</v>
      </c>
      <c r="M314" s="3" t="s">
        <v>54</v>
      </c>
      <c r="N314" s="3" t="s">
        <v>50</v>
      </c>
      <c r="O314" s="3" t="s">
        <v>15</v>
      </c>
    </row>
    <row r="315" spans="1:15" x14ac:dyDescent="0.25">
      <c r="A315" s="3">
        <v>23105</v>
      </c>
      <c r="B315" s="3" t="s">
        <v>37</v>
      </c>
      <c r="C315" s="3" t="s">
        <v>38</v>
      </c>
      <c r="D315" s="4">
        <v>40000</v>
      </c>
      <c r="E315" s="3">
        <v>3</v>
      </c>
      <c r="F315" s="3" t="s">
        <v>29</v>
      </c>
      <c r="G315" s="3" t="s">
        <v>20</v>
      </c>
      <c r="H315" s="3" t="s">
        <v>18</v>
      </c>
      <c r="I315" s="3">
        <v>2</v>
      </c>
      <c r="J315" s="3" t="s">
        <v>23</v>
      </c>
      <c r="K315" s="3" t="s">
        <v>24</v>
      </c>
      <c r="L315" s="3">
        <v>52</v>
      </c>
      <c r="M315" s="3" t="s">
        <v>51</v>
      </c>
      <c r="N315" s="3" t="s">
        <v>48</v>
      </c>
      <c r="O315" s="3" t="s">
        <v>15</v>
      </c>
    </row>
    <row r="316" spans="1:15" x14ac:dyDescent="0.25">
      <c r="A316" s="3">
        <v>18740</v>
      </c>
      <c r="B316" s="3" t="s">
        <v>36</v>
      </c>
      <c r="C316" s="3" t="s">
        <v>38</v>
      </c>
      <c r="D316" s="4">
        <v>80000</v>
      </c>
      <c r="E316" s="3">
        <v>5</v>
      </c>
      <c r="F316" s="3" t="s">
        <v>13</v>
      </c>
      <c r="G316" s="3" t="s">
        <v>21</v>
      </c>
      <c r="H316" s="3" t="s">
        <v>18</v>
      </c>
      <c r="I316" s="3">
        <v>1</v>
      </c>
      <c r="J316" s="3" t="s">
        <v>16</v>
      </c>
      <c r="K316" s="3" t="s">
        <v>24</v>
      </c>
      <c r="L316" s="3">
        <v>47</v>
      </c>
      <c r="M316" s="3" t="s">
        <v>51</v>
      </c>
      <c r="N316" s="3" t="s">
        <v>48</v>
      </c>
      <c r="O316" s="3" t="s">
        <v>15</v>
      </c>
    </row>
    <row r="317" spans="1:15" x14ac:dyDescent="0.25">
      <c r="A317" s="3">
        <v>21213</v>
      </c>
      <c r="B317" s="3" t="s">
        <v>37</v>
      </c>
      <c r="C317" s="3" t="s">
        <v>38</v>
      </c>
      <c r="D317" s="4">
        <v>70000</v>
      </c>
      <c r="E317" s="3">
        <v>0</v>
      </c>
      <c r="F317" s="3" t="s">
        <v>13</v>
      </c>
      <c r="G317" s="3" t="s">
        <v>21</v>
      </c>
      <c r="H317" s="3" t="s">
        <v>18</v>
      </c>
      <c r="I317" s="3">
        <v>1</v>
      </c>
      <c r="J317" s="3" t="s">
        <v>23</v>
      </c>
      <c r="K317" s="3" t="s">
        <v>24</v>
      </c>
      <c r="L317" s="3">
        <v>41</v>
      </c>
      <c r="M317" s="3" t="s">
        <v>53</v>
      </c>
      <c r="N317" s="3" t="s">
        <v>49</v>
      </c>
      <c r="O317" s="3" t="s">
        <v>18</v>
      </c>
    </row>
    <row r="318" spans="1:15" x14ac:dyDescent="0.25">
      <c r="A318" s="3">
        <v>17352</v>
      </c>
      <c r="B318" s="3" t="s">
        <v>36</v>
      </c>
      <c r="C318" s="3" t="s">
        <v>38</v>
      </c>
      <c r="D318" s="4">
        <v>50000</v>
      </c>
      <c r="E318" s="3">
        <v>2</v>
      </c>
      <c r="F318" s="3" t="s">
        <v>31</v>
      </c>
      <c r="G318" s="3" t="s">
        <v>28</v>
      </c>
      <c r="H318" s="3" t="s">
        <v>15</v>
      </c>
      <c r="I318" s="3">
        <v>1</v>
      </c>
      <c r="J318" s="3" t="s">
        <v>23</v>
      </c>
      <c r="K318" s="3" t="s">
        <v>24</v>
      </c>
      <c r="L318" s="3">
        <v>64</v>
      </c>
      <c r="M318" s="3" t="s">
        <v>54</v>
      </c>
      <c r="N318" s="3" t="s">
        <v>50</v>
      </c>
      <c r="O318" s="3" t="s">
        <v>15</v>
      </c>
    </row>
    <row r="319" spans="1:15" x14ac:dyDescent="0.25">
      <c r="A319" s="3">
        <v>14154</v>
      </c>
      <c r="B319" s="3" t="s">
        <v>36</v>
      </c>
      <c r="C319" s="3" t="s">
        <v>38</v>
      </c>
      <c r="D319" s="4">
        <v>30000</v>
      </c>
      <c r="E319" s="3">
        <v>0</v>
      </c>
      <c r="F319" s="3" t="s">
        <v>13</v>
      </c>
      <c r="G319" s="3" t="s">
        <v>20</v>
      </c>
      <c r="H319" s="3" t="s">
        <v>15</v>
      </c>
      <c r="I319" s="3">
        <v>0</v>
      </c>
      <c r="J319" s="3" t="s">
        <v>16</v>
      </c>
      <c r="K319" s="3" t="s">
        <v>17</v>
      </c>
      <c r="L319" s="3">
        <v>35</v>
      </c>
      <c r="M319" s="3" t="s">
        <v>53</v>
      </c>
      <c r="N319" s="3" t="s">
        <v>49</v>
      </c>
      <c r="O319" s="3" t="s">
        <v>15</v>
      </c>
    </row>
    <row r="320" spans="1:15" x14ac:dyDescent="0.25">
      <c r="A320" s="3">
        <v>19066</v>
      </c>
      <c r="B320" s="3" t="s">
        <v>36</v>
      </c>
      <c r="C320" s="3" t="s">
        <v>38</v>
      </c>
      <c r="D320" s="4">
        <v>130000</v>
      </c>
      <c r="E320" s="3">
        <v>4</v>
      </c>
      <c r="F320" s="3" t="s">
        <v>19</v>
      </c>
      <c r="G320" s="3" t="s">
        <v>21</v>
      </c>
      <c r="H320" s="3" t="s">
        <v>18</v>
      </c>
      <c r="I320" s="3">
        <v>3</v>
      </c>
      <c r="J320" s="3" t="s">
        <v>46</v>
      </c>
      <c r="K320" s="3" t="s">
        <v>17</v>
      </c>
      <c r="L320" s="3">
        <v>54</v>
      </c>
      <c r="M320" s="3" t="s">
        <v>51</v>
      </c>
      <c r="N320" s="3" t="s">
        <v>48</v>
      </c>
      <c r="O320" s="3" t="s">
        <v>18</v>
      </c>
    </row>
    <row r="321" spans="1:15" x14ac:dyDescent="0.25">
      <c r="A321" s="3">
        <v>11386</v>
      </c>
      <c r="B321" s="3" t="s">
        <v>36</v>
      </c>
      <c r="C321" s="3" t="s">
        <v>39</v>
      </c>
      <c r="D321" s="4">
        <v>30000</v>
      </c>
      <c r="E321" s="3">
        <v>3</v>
      </c>
      <c r="F321" s="3" t="s">
        <v>13</v>
      </c>
      <c r="G321" s="3" t="s">
        <v>20</v>
      </c>
      <c r="H321" s="3" t="s">
        <v>15</v>
      </c>
      <c r="I321" s="3">
        <v>0</v>
      </c>
      <c r="J321" s="3" t="s">
        <v>16</v>
      </c>
      <c r="K321" s="3" t="s">
        <v>17</v>
      </c>
      <c r="L321" s="3">
        <v>45</v>
      </c>
      <c r="M321" s="3" t="s">
        <v>51</v>
      </c>
      <c r="N321" s="3" t="s">
        <v>48</v>
      </c>
      <c r="O321" s="3" t="s">
        <v>18</v>
      </c>
    </row>
    <row r="322" spans="1:15" x14ac:dyDescent="0.25">
      <c r="A322" s="3">
        <v>20228</v>
      </c>
      <c r="B322" s="3" t="s">
        <v>36</v>
      </c>
      <c r="C322" s="3" t="s">
        <v>38</v>
      </c>
      <c r="D322" s="4">
        <v>100000</v>
      </c>
      <c r="E322" s="3">
        <v>0</v>
      </c>
      <c r="F322" s="3" t="s">
        <v>31</v>
      </c>
      <c r="G322" s="3" t="s">
        <v>28</v>
      </c>
      <c r="H322" s="3" t="s">
        <v>15</v>
      </c>
      <c r="I322" s="3">
        <v>0</v>
      </c>
      <c r="J322" s="3" t="s">
        <v>22</v>
      </c>
      <c r="K322" s="3" t="s">
        <v>24</v>
      </c>
      <c r="L322" s="3">
        <v>40</v>
      </c>
      <c r="M322" s="3" t="s">
        <v>53</v>
      </c>
      <c r="N322" s="3" t="s">
        <v>49</v>
      </c>
      <c r="O322" s="3" t="s">
        <v>15</v>
      </c>
    </row>
    <row r="323" spans="1:15" x14ac:dyDescent="0.25">
      <c r="A323" s="3">
        <v>16675</v>
      </c>
      <c r="B323" s="3" t="s">
        <v>37</v>
      </c>
      <c r="C323" s="3" t="s">
        <v>39</v>
      </c>
      <c r="D323" s="4">
        <v>160000</v>
      </c>
      <c r="E323" s="3">
        <v>0</v>
      </c>
      <c r="F323" s="3" t="s">
        <v>31</v>
      </c>
      <c r="G323" s="3" t="s">
        <v>28</v>
      </c>
      <c r="H323" s="3" t="s">
        <v>18</v>
      </c>
      <c r="I323" s="3">
        <v>3</v>
      </c>
      <c r="J323" s="3" t="s">
        <v>16</v>
      </c>
      <c r="K323" s="3" t="s">
        <v>24</v>
      </c>
      <c r="L323" s="3">
        <v>47</v>
      </c>
      <c r="M323" s="3" t="s">
        <v>51</v>
      </c>
      <c r="N323" s="3" t="s">
        <v>48</v>
      </c>
      <c r="O323" s="3" t="s">
        <v>15</v>
      </c>
    </row>
    <row r="324" spans="1:15" x14ac:dyDescent="0.25">
      <c r="A324" s="3">
        <v>16410</v>
      </c>
      <c r="B324" s="3" t="s">
        <v>37</v>
      </c>
      <c r="C324" s="3" t="s">
        <v>39</v>
      </c>
      <c r="D324" s="4">
        <v>10000</v>
      </c>
      <c r="E324" s="3">
        <v>4</v>
      </c>
      <c r="F324" s="3" t="s">
        <v>29</v>
      </c>
      <c r="G324" s="3" t="s">
        <v>25</v>
      </c>
      <c r="H324" s="3" t="s">
        <v>15</v>
      </c>
      <c r="I324" s="3">
        <v>2</v>
      </c>
      <c r="J324" s="3" t="s">
        <v>16</v>
      </c>
      <c r="K324" s="3" t="s">
        <v>17</v>
      </c>
      <c r="L324" s="3">
        <v>41</v>
      </c>
      <c r="M324" s="3" t="s">
        <v>53</v>
      </c>
      <c r="N324" s="3" t="s">
        <v>49</v>
      </c>
      <c r="O324" s="3" t="s">
        <v>15</v>
      </c>
    </row>
    <row r="325" spans="1:15" x14ac:dyDescent="0.25">
      <c r="A325" s="3">
        <v>27760</v>
      </c>
      <c r="B325" s="3" t="s">
        <v>37</v>
      </c>
      <c r="C325" s="3" t="s">
        <v>39</v>
      </c>
      <c r="D325" s="4">
        <v>40000</v>
      </c>
      <c r="E325" s="3">
        <v>0</v>
      </c>
      <c r="F325" s="3" t="s">
        <v>31</v>
      </c>
      <c r="G325" s="3" t="s">
        <v>20</v>
      </c>
      <c r="H325" s="3" t="s">
        <v>18</v>
      </c>
      <c r="I325" s="3">
        <v>0</v>
      </c>
      <c r="J325" s="3" t="s">
        <v>16</v>
      </c>
      <c r="K325" s="3" t="s">
        <v>17</v>
      </c>
      <c r="L325" s="3">
        <v>37</v>
      </c>
      <c r="M325" s="3" t="s">
        <v>53</v>
      </c>
      <c r="N325" s="3" t="s">
        <v>49</v>
      </c>
      <c r="O325" s="3" t="s">
        <v>15</v>
      </c>
    </row>
    <row r="326" spans="1:15" x14ac:dyDescent="0.25">
      <c r="A326" s="3">
        <v>22930</v>
      </c>
      <c r="B326" s="3" t="s">
        <v>36</v>
      </c>
      <c r="C326" s="3" t="s">
        <v>38</v>
      </c>
      <c r="D326" s="4">
        <v>90000</v>
      </c>
      <c r="E326" s="3">
        <v>4</v>
      </c>
      <c r="F326" s="3" t="s">
        <v>13</v>
      </c>
      <c r="G326" s="3" t="s">
        <v>21</v>
      </c>
      <c r="H326" s="3" t="s">
        <v>15</v>
      </c>
      <c r="I326" s="3">
        <v>0</v>
      </c>
      <c r="J326" s="3" t="s">
        <v>26</v>
      </c>
      <c r="K326" s="3" t="s">
        <v>24</v>
      </c>
      <c r="L326" s="3">
        <v>38</v>
      </c>
      <c r="M326" s="3" t="s">
        <v>53</v>
      </c>
      <c r="N326" s="3" t="s">
        <v>49</v>
      </c>
      <c r="O326" s="3" t="s">
        <v>15</v>
      </c>
    </row>
    <row r="327" spans="1:15" x14ac:dyDescent="0.25">
      <c r="A327" s="3">
        <v>23780</v>
      </c>
      <c r="B327" s="3" t="s">
        <v>37</v>
      </c>
      <c r="C327" s="3" t="s">
        <v>38</v>
      </c>
      <c r="D327" s="4">
        <v>40000</v>
      </c>
      <c r="E327" s="3">
        <v>2</v>
      </c>
      <c r="F327" s="3" t="s">
        <v>19</v>
      </c>
      <c r="G327" s="3" t="s">
        <v>20</v>
      </c>
      <c r="H327" s="3" t="s">
        <v>18</v>
      </c>
      <c r="I327" s="3">
        <v>2</v>
      </c>
      <c r="J327" s="3" t="s">
        <v>16</v>
      </c>
      <c r="K327" s="3" t="s">
        <v>17</v>
      </c>
      <c r="L327" s="3">
        <v>36</v>
      </c>
      <c r="M327" s="3" t="s">
        <v>53</v>
      </c>
      <c r="N327" s="3" t="s">
        <v>49</v>
      </c>
      <c r="O327" s="3" t="s">
        <v>15</v>
      </c>
    </row>
    <row r="328" spans="1:15" x14ac:dyDescent="0.25">
      <c r="A328" s="3">
        <v>20994</v>
      </c>
      <c r="B328" s="3" t="s">
        <v>36</v>
      </c>
      <c r="C328" s="3" t="s">
        <v>39</v>
      </c>
      <c r="D328" s="4">
        <v>20000</v>
      </c>
      <c r="E328" s="3">
        <v>0</v>
      </c>
      <c r="F328" s="3" t="s">
        <v>13</v>
      </c>
      <c r="G328" s="3" t="s">
        <v>20</v>
      </c>
      <c r="H328" s="3" t="s">
        <v>18</v>
      </c>
      <c r="I328" s="3">
        <v>0</v>
      </c>
      <c r="J328" s="3" t="s">
        <v>16</v>
      </c>
      <c r="K328" s="3" t="s">
        <v>24</v>
      </c>
      <c r="L328" s="3">
        <v>26</v>
      </c>
      <c r="M328" s="3" t="s">
        <v>53</v>
      </c>
      <c r="N328" s="3" t="s">
        <v>49</v>
      </c>
      <c r="O328" s="3" t="s">
        <v>15</v>
      </c>
    </row>
    <row r="329" spans="1:15" x14ac:dyDescent="0.25">
      <c r="A329" s="3">
        <v>28379</v>
      </c>
      <c r="B329" s="3" t="s">
        <v>36</v>
      </c>
      <c r="C329" s="3" t="s">
        <v>38</v>
      </c>
      <c r="D329" s="4">
        <v>30000</v>
      </c>
      <c r="E329" s="3">
        <v>1</v>
      </c>
      <c r="F329" s="3" t="s">
        <v>13</v>
      </c>
      <c r="G329" s="3" t="s">
        <v>14</v>
      </c>
      <c r="H329" s="3" t="s">
        <v>15</v>
      </c>
      <c r="I329" s="3">
        <v>2</v>
      </c>
      <c r="J329" s="3" t="s">
        <v>16</v>
      </c>
      <c r="K329" s="3" t="s">
        <v>17</v>
      </c>
      <c r="L329" s="3">
        <v>40</v>
      </c>
      <c r="M329" s="3" t="s">
        <v>53</v>
      </c>
      <c r="N329" s="3" t="s">
        <v>49</v>
      </c>
      <c r="O329" s="3" t="s">
        <v>18</v>
      </c>
    </row>
    <row r="330" spans="1:15" x14ac:dyDescent="0.25">
      <c r="A330" s="3">
        <v>14865</v>
      </c>
      <c r="B330" s="3" t="s">
        <v>37</v>
      </c>
      <c r="C330" s="3" t="s">
        <v>38</v>
      </c>
      <c r="D330" s="4">
        <v>40000</v>
      </c>
      <c r="E330" s="3">
        <v>2</v>
      </c>
      <c r="F330" s="3" t="s">
        <v>19</v>
      </c>
      <c r="G330" s="3" t="s">
        <v>20</v>
      </c>
      <c r="H330" s="3" t="s">
        <v>15</v>
      </c>
      <c r="I330" s="3">
        <v>2</v>
      </c>
      <c r="J330" s="3" t="s">
        <v>26</v>
      </c>
      <c r="K330" s="3" t="s">
        <v>17</v>
      </c>
      <c r="L330" s="3">
        <v>36</v>
      </c>
      <c r="M330" s="3" t="s">
        <v>53</v>
      </c>
      <c r="N330" s="3" t="s">
        <v>49</v>
      </c>
      <c r="O330" s="3" t="s">
        <v>18</v>
      </c>
    </row>
    <row r="331" spans="1:15" x14ac:dyDescent="0.25">
      <c r="A331" s="3">
        <v>12663</v>
      </c>
      <c r="B331" s="3" t="s">
        <v>36</v>
      </c>
      <c r="C331" s="3" t="s">
        <v>39</v>
      </c>
      <c r="D331" s="4">
        <v>90000</v>
      </c>
      <c r="E331" s="3">
        <v>5</v>
      </c>
      <c r="F331" s="3" t="s">
        <v>29</v>
      </c>
      <c r="G331" s="3" t="s">
        <v>14</v>
      </c>
      <c r="H331" s="3" t="s">
        <v>15</v>
      </c>
      <c r="I331" s="3">
        <v>2</v>
      </c>
      <c r="J331" s="3" t="s">
        <v>46</v>
      </c>
      <c r="K331" s="3" t="s">
        <v>17</v>
      </c>
      <c r="L331" s="3">
        <v>59</v>
      </c>
      <c r="M331" s="3" t="s">
        <v>54</v>
      </c>
      <c r="N331" s="3" t="s">
        <v>50</v>
      </c>
      <c r="O331" s="3" t="s">
        <v>18</v>
      </c>
    </row>
    <row r="332" spans="1:15" x14ac:dyDescent="0.25">
      <c r="A332" s="3">
        <v>24898</v>
      </c>
      <c r="B332" s="3" t="s">
        <v>37</v>
      </c>
      <c r="C332" s="3" t="s">
        <v>39</v>
      </c>
      <c r="D332" s="4">
        <v>80000</v>
      </c>
      <c r="E332" s="3">
        <v>0</v>
      </c>
      <c r="F332" s="3" t="s">
        <v>13</v>
      </c>
      <c r="G332" s="3" t="s">
        <v>21</v>
      </c>
      <c r="H332" s="3" t="s">
        <v>15</v>
      </c>
      <c r="I332" s="3">
        <v>3</v>
      </c>
      <c r="J332" s="3" t="s">
        <v>46</v>
      </c>
      <c r="K332" s="3" t="s">
        <v>24</v>
      </c>
      <c r="L332" s="3">
        <v>32</v>
      </c>
      <c r="M332" s="3" t="s">
        <v>53</v>
      </c>
      <c r="N332" s="3" t="s">
        <v>49</v>
      </c>
      <c r="O332" s="3" t="s">
        <v>18</v>
      </c>
    </row>
    <row r="333" spans="1:15" x14ac:dyDescent="0.25">
      <c r="A333" s="3">
        <v>19508</v>
      </c>
      <c r="B333" s="3" t="s">
        <v>36</v>
      </c>
      <c r="C333" s="3" t="s">
        <v>38</v>
      </c>
      <c r="D333" s="4">
        <v>10000</v>
      </c>
      <c r="E333" s="3">
        <v>0</v>
      </c>
      <c r="F333" s="3" t="s">
        <v>29</v>
      </c>
      <c r="G333" s="3" t="s">
        <v>25</v>
      </c>
      <c r="H333" s="3" t="s">
        <v>18</v>
      </c>
      <c r="I333" s="3">
        <v>2</v>
      </c>
      <c r="J333" s="3" t="s">
        <v>16</v>
      </c>
      <c r="K333" s="3" t="s">
        <v>17</v>
      </c>
      <c r="L333" s="3">
        <v>30</v>
      </c>
      <c r="M333" s="3" t="s">
        <v>53</v>
      </c>
      <c r="N333" s="3" t="s">
        <v>49</v>
      </c>
      <c r="O333" s="3" t="s">
        <v>18</v>
      </c>
    </row>
    <row r="334" spans="1:15" x14ac:dyDescent="0.25">
      <c r="A334" s="3">
        <v>11489</v>
      </c>
      <c r="B334" s="3" t="s">
        <v>37</v>
      </c>
      <c r="C334" s="3" t="s">
        <v>39</v>
      </c>
      <c r="D334" s="4">
        <v>20000</v>
      </c>
      <c r="E334" s="3">
        <v>0</v>
      </c>
      <c r="F334" s="3" t="s">
        <v>29</v>
      </c>
      <c r="G334" s="3" t="s">
        <v>25</v>
      </c>
      <c r="H334" s="3" t="s">
        <v>18</v>
      </c>
      <c r="I334" s="3">
        <v>2</v>
      </c>
      <c r="J334" s="3" t="s">
        <v>26</v>
      </c>
      <c r="K334" s="3" t="s">
        <v>17</v>
      </c>
      <c r="L334" s="3">
        <v>35</v>
      </c>
      <c r="M334" s="3" t="s">
        <v>53</v>
      </c>
      <c r="N334" s="3" t="s">
        <v>49</v>
      </c>
      <c r="O334" s="3" t="s">
        <v>15</v>
      </c>
    </row>
    <row r="335" spans="1:15" x14ac:dyDescent="0.25">
      <c r="A335" s="3">
        <v>18160</v>
      </c>
      <c r="B335" s="3" t="s">
        <v>36</v>
      </c>
      <c r="C335" s="3" t="s">
        <v>38</v>
      </c>
      <c r="D335" s="4">
        <v>130000</v>
      </c>
      <c r="E335" s="3">
        <v>3</v>
      </c>
      <c r="F335" s="3" t="s">
        <v>27</v>
      </c>
      <c r="G335" s="3" t="s">
        <v>21</v>
      </c>
      <c r="H335" s="3" t="s">
        <v>15</v>
      </c>
      <c r="I335" s="3">
        <v>4</v>
      </c>
      <c r="J335" s="3" t="s">
        <v>23</v>
      </c>
      <c r="K335" s="3" t="s">
        <v>17</v>
      </c>
      <c r="L335" s="3">
        <v>51</v>
      </c>
      <c r="M335" s="3" t="s">
        <v>51</v>
      </c>
      <c r="N335" s="3" t="s">
        <v>48</v>
      </c>
      <c r="O335" s="3" t="s">
        <v>15</v>
      </c>
    </row>
    <row r="336" spans="1:15" x14ac:dyDescent="0.25">
      <c r="A336" s="3">
        <v>25241</v>
      </c>
      <c r="B336" s="3" t="s">
        <v>36</v>
      </c>
      <c r="C336" s="3" t="s">
        <v>38</v>
      </c>
      <c r="D336" s="4">
        <v>90000</v>
      </c>
      <c r="E336" s="3">
        <v>2</v>
      </c>
      <c r="F336" s="3" t="s">
        <v>13</v>
      </c>
      <c r="G336" s="3" t="s">
        <v>21</v>
      </c>
      <c r="H336" s="3" t="s">
        <v>15</v>
      </c>
      <c r="I336" s="3">
        <v>1</v>
      </c>
      <c r="J336" s="3" t="s">
        <v>23</v>
      </c>
      <c r="K336" s="3" t="s">
        <v>24</v>
      </c>
      <c r="L336" s="3">
        <v>47</v>
      </c>
      <c r="M336" s="3" t="s">
        <v>51</v>
      </c>
      <c r="N336" s="3" t="s">
        <v>48</v>
      </c>
      <c r="O336" s="3" t="s">
        <v>18</v>
      </c>
    </row>
    <row r="337" spans="1:15" x14ac:dyDescent="0.25">
      <c r="A337" s="3">
        <v>24369</v>
      </c>
      <c r="B337" s="3" t="s">
        <v>36</v>
      </c>
      <c r="C337" s="3" t="s">
        <v>38</v>
      </c>
      <c r="D337" s="4">
        <v>80000</v>
      </c>
      <c r="E337" s="3">
        <v>5</v>
      </c>
      <c r="F337" s="3" t="s">
        <v>31</v>
      </c>
      <c r="G337" s="3" t="s">
        <v>28</v>
      </c>
      <c r="H337" s="3" t="s">
        <v>18</v>
      </c>
      <c r="I337" s="3">
        <v>2</v>
      </c>
      <c r="J337" s="3" t="s">
        <v>16</v>
      </c>
      <c r="K337" s="3" t="s">
        <v>24</v>
      </c>
      <c r="L337" s="3">
        <v>39</v>
      </c>
      <c r="M337" s="3" t="s">
        <v>53</v>
      </c>
      <c r="N337" s="3" t="s">
        <v>49</v>
      </c>
      <c r="O337" s="3" t="s">
        <v>18</v>
      </c>
    </row>
    <row r="338" spans="1:15" x14ac:dyDescent="0.25">
      <c r="A338" s="3">
        <v>27165</v>
      </c>
      <c r="B338" s="3" t="s">
        <v>37</v>
      </c>
      <c r="C338" s="3" t="s">
        <v>38</v>
      </c>
      <c r="D338" s="4">
        <v>20000</v>
      </c>
      <c r="E338" s="3">
        <v>0</v>
      </c>
      <c r="F338" s="3" t="s">
        <v>29</v>
      </c>
      <c r="G338" s="3" t="s">
        <v>25</v>
      </c>
      <c r="H338" s="3" t="s">
        <v>18</v>
      </c>
      <c r="I338" s="3">
        <v>2</v>
      </c>
      <c r="J338" s="3" t="s">
        <v>16</v>
      </c>
      <c r="K338" s="3" t="s">
        <v>17</v>
      </c>
      <c r="L338" s="3">
        <v>34</v>
      </c>
      <c r="M338" s="3" t="s">
        <v>53</v>
      </c>
      <c r="N338" s="3" t="s">
        <v>49</v>
      </c>
      <c r="O338" s="3" t="s">
        <v>18</v>
      </c>
    </row>
    <row r="339" spans="1:15" x14ac:dyDescent="0.25">
      <c r="A339" s="3">
        <v>29424</v>
      </c>
      <c r="B339" s="3" t="s">
        <v>36</v>
      </c>
      <c r="C339" s="3" t="s">
        <v>38</v>
      </c>
      <c r="D339" s="4">
        <v>10000</v>
      </c>
      <c r="E339" s="3">
        <v>0</v>
      </c>
      <c r="F339" s="3" t="s">
        <v>29</v>
      </c>
      <c r="G339" s="3" t="s">
        <v>25</v>
      </c>
      <c r="H339" s="3" t="s">
        <v>15</v>
      </c>
      <c r="I339" s="3">
        <v>2</v>
      </c>
      <c r="J339" s="3" t="s">
        <v>16</v>
      </c>
      <c r="K339" s="3" t="s">
        <v>17</v>
      </c>
      <c r="L339" s="3">
        <v>32</v>
      </c>
      <c r="M339" s="3" t="s">
        <v>53</v>
      </c>
      <c r="N339" s="3" t="s">
        <v>49</v>
      </c>
      <c r="O339" s="3" t="s">
        <v>18</v>
      </c>
    </row>
    <row r="340" spans="1:15" x14ac:dyDescent="0.25">
      <c r="A340" s="3">
        <v>15926</v>
      </c>
      <c r="B340" s="3" t="s">
        <v>37</v>
      </c>
      <c r="C340" s="3" t="s">
        <v>39</v>
      </c>
      <c r="D340" s="4">
        <v>120000</v>
      </c>
      <c r="E340" s="3">
        <v>3</v>
      </c>
      <c r="F340" s="3" t="s">
        <v>27</v>
      </c>
      <c r="G340" s="3" t="s">
        <v>21</v>
      </c>
      <c r="H340" s="3" t="s">
        <v>15</v>
      </c>
      <c r="I340" s="3">
        <v>4</v>
      </c>
      <c r="J340" s="3" t="s">
        <v>23</v>
      </c>
      <c r="K340" s="3" t="s">
        <v>17</v>
      </c>
      <c r="L340" s="3">
        <v>50</v>
      </c>
      <c r="M340" s="3" t="s">
        <v>51</v>
      </c>
      <c r="N340" s="3" t="s">
        <v>48</v>
      </c>
      <c r="O340" s="3" t="s">
        <v>15</v>
      </c>
    </row>
    <row r="341" spans="1:15" x14ac:dyDescent="0.25">
      <c r="A341" s="3">
        <v>14554</v>
      </c>
      <c r="B341" s="3" t="s">
        <v>36</v>
      </c>
      <c r="C341" s="3" t="s">
        <v>38</v>
      </c>
      <c r="D341" s="4">
        <v>20000</v>
      </c>
      <c r="E341" s="3">
        <v>1</v>
      </c>
      <c r="F341" s="3" t="s">
        <v>13</v>
      </c>
      <c r="G341" s="3" t="s">
        <v>20</v>
      </c>
      <c r="H341" s="3" t="s">
        <v>15</v>
      </c>
      <c r="I341" s="3">
        <v>0</v>
      </c>
      <c r="J341" s="3" t="s">
        <v>16</v>
      </c>
      <c r="K341" s="3" t="s">
        <v>17</v>
      </c>
      <c r="L341" s="3">
        <v>66</v>
      </c>
      <c r="M341" s="3" t="s">
        <v>54</v>
      </c>
      <c r="N341" s="3" t="s">
        <v>50</v>
      </c>
      <c r="O341" s="3" t="s">
        <v>18</v>
      </c>
    </row>
    <row r="342" spans="1:15" x14ac:dyDescent="0.25">
      <c r="A342" s="3">
        <v>16468</v>
      </c>
      <c r="B342" s="3" t="s">
        <v>37</v>
      </c>
      <c r="C342" s="3" t="s">
        <v>38</v>
      </c>
      <c r="D342" s="4">
        <v>30000</v>
      </c>
      <c r="E342" s="3">
        <v>0</v>
      </c>
      <c r="F342" s="3" t="s">
        <v>19</v>
      </c>
      <c r="G342" s="3" t="s">
        <v>20</v>
      </c>
      <c r="H342" s="3" t="s">
        <v>15</v>
      </c>
      <c r="I342" s="3">
        <v>1</v>
      </c>
      <c r="J342" s="3" t="s">
        <v>22</v>
      </c>
      <c r="K342" s="3" t="s">
        <v>17</v>
      </c>
      <c r="L342" s="3">
        <v>30</v>
      </c>
      <c r="M342" s="3" t="s">
        <v>53</v>
      </c>
      <c r="N342" s="3" t="s">
        <v>49</v>
      </c>
      <c r="O342" s="3" t="s">
        <v>18</v>
      </c>
    </row>
    <row r="343" spans="1:15" x14ac:dyDescent="0.25">
      <c r="A343" s="3">
        <v>19174</v>
      </c>
      <c r="B343" s="3" t="s">
        <v>37</v>
      </c>
      <c r="C343" s="3" t="s">
        <v>39</v>
      </c>
      <c r="D343" s="4">
        <v>30000</v>
      </c>
      <c r="E343" s="3">
        <v>0</v>
      </c>
      <c r="F343" s="3" t="s">
        <v>27</v>
      </c>
      <c r="G343" s="3" t="s">
        <v>25</v>
      </c>
      <c r="H343" s="3" t="s">
        <v>18</v>
      </c>
      <c r="I343" s="3">
        <v>1</v>
      </c>
      <c r="J343" s="3" t="s">
        <v>22</v>
      </c>
      <c r="K343" s="3" t="s">
        <v>17</v>
      </c>
      <c r="L343" s="3">
        <v>32</v>
      </c>
      <c r="M343" s="3" t="s">
        <v>53</v>
      </c>
      <c r="N343" s="3" t="s">
        <v>49</v>
      </c>
      <c r="O343" s="3" t="s">
        <v>15</v>
      </c>
    </row>
    <row r="344" spans="1:15" x14ac:dyDescent="0.25">
      <c r="A344" s="3">
        <v>19183</v>
      </c>
      <c r="B344" s="3" t="s">
        <v>37</v>
      </c>
      <c r="C344" s="3" t="s">
        <v>38</v>
      </c>
      <c r="D344" s="4">
        <v>10000</v>
      </c>
      <c r="E344" s="3">
        <v>0</v>
      </c>
      <c r="F344" s="3" t="s">
        <v>29</v>
      </c>
      <c r="G344" s="3" t="s">
        <v>25</v>
      </c>
      <c r="H344" s="3" t="s">
        <v>15</v>
      </c>
      <c r="I344" s="3">
        <v>2</v>
      </c>
      <c r="J344" s="3" t="s">
        <v>26</v>
      </c>
      <c r="K344" s="3" t="s">
        <v>17</v>
      </c>
      <c r="L344" s="3">
        <v>35</v>
      </c>
      <c r="M344" s="3" t="s">
        <v>53</v>
      </c>
      <c r="N344" s="3" t="s">
        <v>49</v>
      </c>
      <c r="O344" s="3" t="s">
        <v>18</v>
      </c>
    </row>
    <row r="345" spans="1:15" x14ac:dyDescent="0.25">
      <c r="A345" s="3">
        <v>13683</v>
      </c>
      <c r="B345" s="3" t="s">
        <v>37</v>
      </c>
      <c r="C345" s="3" t="s">
        <v>39</v>
      </c>
      <c r="D345" s="4">
        <v>30000</v>
      </c>
      <c r="E345" s="3">
        <v>0</v>
      </c>
      <c r="F345" s="3" t="s">
        <v>27</v>
      </c>
      <c r="G345" s="3" t="s">
        <v>25</v>
      </c>
      <c r="H345" s="3" t="s">
        <v>18</v>
      </c>
      <c r="I345" s="3">
        <v>1</v>
      </c>
      <c r="J345" s="3" t="s">
        <v>22</v>
      </c>
      <c r="K345" s="3" t="s">
        <v>17</v>
      </c>
      <c r="L345" s="3">
        <v>32</v>
      </c>
      <c r="M345" s="3" t="s">
        <v>53</v>
      </c>
      <c r="N345" s="3" t="s">
        <v>49</v>
      </c>
      <c r="O345" s="3" t="s">
        <v>18</v>
      </c>
    </row>
    <row r="346" spans="1:15" x14ac:dyDescent="0.25">
      <c r="A346" s="3">
        <v>17848</v>
      </c>
      <c r="B346" s="3" t="s">
        <v>37</v>
      </c>
      <c r="C346" s="3" t="s">
        <v>38</v>
      </c>
      <c r="D346" s="4">
        <v>30000</v>
      </c>
      <c r="E346" s="3">
        <v>0</v>
      </c>
      <c r="F346" s="3" t="s">
        <v>19</v>
      </c>
      <c r="G346" s="3" t="s">
        <v>20</v>
      </c>
      <c r="H346" s="3" t="s">
        <v>18</v>
      </c>
      <c r="I346" s="3">
        <v>1</v>
      </c>
      <c r="J346" s="3" t="s">
        <v>22</v>
      </c>
      <c r="K346" s="3" t="s">
        <v>17</v>
      </c>
      <c r="L346" s="3">
        <v>31</v>
      </c>
      <c r="M346" s="3" t="s">
        <v>53</v>
      </c>
      <c r="N346" s="3" t="s">
        <v>49</v>
      </c>
      <c r="O346" s="3" t="s">
        <v>15</v>
      </c>
    </row>
    <row r="347" spans="1:15" x14ac:dyDescent="0.25">
      <c r="A347" s="3">
        <v>17894</v>
      </c>
      <c r="B347" s="3" t="s">
        <v>36</v>
      </c>
      <c r="C347" s="3" t="s">
        <v>39</v>
      </c>
      <c r="D347" s="4">
        <v>20000</v>
      </c>
      <c r="E347" s="3">
        <v>1</v>
      </c>
      <c r="F347" s="3" t="s">
        <v>13</v>
      </c>
      <c r="G347" s="3" t="s">
        <v>20</v>
      </c>
      <c r="H347" s="3" t="s">
        <v>15</v>
      </c>
      <c r="I347" s="3">
        <v>0</v>
      </c>
      <c r="J347" s="3" t="s">
        <v>16</v>
      </c>
      <c r="K347" s="3" t="s">
        <v>17</v>
      </c>
      <c r="L347" s="3">
        <v>50</v>
      </c>
      <c r="M347" s="3" t="s">
        <v>51</v>
      </c>
      <c r="N347" s="3" t="s">
        <v>48</v>
      </c>
      <c r="O347" s="3" t="s">
        <v>15</v>
      </c>
    </row>
    <row r="348" spans="1:15" x14ac:dyDescent="0.25">
      <c r="A348" s="3">
        <v>25651</v>
      </c>
      <c r="B348" s="3" t="s">
        <v>36</v>
      </c>
      <c r="C348" s="3" t="s">
        <v>38</v>
      </c>
      <c r="D348" s="4">
        <v>40000</v>
      </c>
      <c r="E348" s="3">
        <v>1</v>
      </c>
      <c r="F348" s="3" t="s">
        <v>13</v>
      </c>
      <c r="G348" s="3" t="s">
        <v>14</v>
      </c>
      <c r="H348" s="3" t="s">
        <v>18</v>
      </c>
      <c r="I348" s="3">
        <v>0</v>
      </c>
      <c r="J348" s="3" t="s">
        <v>16</v>
      </c>
      <c r="K348" s="3" t="s">
        <v>17</v>
      </c>
      <c r="L348" s="3">
        <v>43</v>
      </c>
      <c r="M348" s="3" t="s">
        <v>53</v>
      </c>
      <c r="N348" s="3" t="s">
        <v>49</v>
      </c>
      <c r="O348" s="3" t="s">
        <v>15</v>
      </c>
    </row>
    <row r="349" spans="1:15" x14ac:dyDescent="0.25">
      <c r="A349" s="3">
        <v>22936</v>
      </c>
      <c r="B349" s="3" t="s">
        <v>37</v>
      </c>
      <c r="C349" s="3" t="s">
        <v>39</v>
      </c>
      <c r="D349" s="4">
        <v>60000</v>
      </c>
      <c r="E349" s="3">
        <v>1</v>
      </c>
      <c r="F349" s="3" t="s">
        <v>19</v>
      </c>
      <c r="G349" s="3" t="s">
        <v>14</v>
      </c>
      <c r="H349" s="3" t="s">
        <v>18</v>
      </c>
      <c r="I349" s="3">
        <v>1</v>
      </c>
      <c r="J349" s="3" t="s">
        <v>16</v>
      </c>
      <c r="K349" s="3" t="s">
        <v>24</v>
      </c>
      <c r="L349" s="3">
        <v>45</v>
      </c>
      <c r="M349" s="3" t="s">
        <v>51</v>
      </c>
      <c r="N349" s="3" t="s">
        <v>48</v>
      </c>
      <c r="O349" s="3" t="s">
        <v>15</v>
      </c>
    </row>
    <row r="350" spans="1:15" x14ac:dyDescent="0.25">
      <c r="A350" s="3">
        <v>23915</v>
      </c>
      <c r="B350" s="3" t="s">
        <v>36</v>
      </c>
      <c r="C350" s="3" t="s">
        <v>38</v>
      </c>
      <c r="D350" s="4">
        <v>20000</v>
      </c>
      <c r="E350" s="3">
        <v>2</v>
      </c>
      <c r="F350" s="3" t="s">
        <v>27</v>
      </c>
      <c r="G350" s="3" t="s">
        <v>25</v>
      </c>
      <c r="H350" s="3" t="s">
        <v>15</v>
      </c>
      <c r="I350" s="3">
        <v>2</v>
      </c>
      <c r="J350" s="3" t="s">
        <v>16</v>
      </c>
      <c r="K350" s="3" t="s">
        <v>17</v>
      </c>
      <c r="L350" s="3">
        <v>42</v>
      </c>
      <c r="M350" s="3" t="s">
        <v>53</v>
      </c>
      <c r="N350" s="3" t="s">
        <v>49</v>
      </c>
      <c r="O350" s="3" t="s">
        <v>18</v>
      </c>
    </row>
    <row r="351" spans="1:15" x14ac:dyDescent="0.25">
      <c r="A351" s="3">
        <v>24121</v>
      </c>
      <c r="B351" s="3" t="s">
        <v>37</v>
      </c>
      <c r="C351" s="3" t="s">
        <v>39</v>
      </c>
      <c r="D351" s="4">
        <v>30000</v>
      </c>
      <c r="E351" s="3">
        <v>0</v>
      </c>
      <c r="F351" s="3" t="s">
        <v>19</v>
      </c>
      <c r="G351" s="3" t="s">
        <v>20</v>
      </c>
      <c r="H351" s="3" t="s">
        <v>18</v>
      </c>
      <c r="I351" s="3">
        <v>1</v>
      </c>
      <c r="J351" s="3" t="s">
        <v>16</v>
      </c>
      <c r="K351" s="3" t="s">
        <v>17</v>
      </c>
      <c r="L351" s="3">
        <v>29</v>
      </c>
      <c r="M351" s="3" t="s">
        <v>53</v>
      </c>
      <c r="N351" s="3" t="s">
        <v>49</v>
      </c>
      <c r="O351" s="3" t="s">
        <v>15</v>
      </c>
    </row>
    <row r="352" spans="1:15" x14ac:dyDescent="0.25">
      <c r="A352" s="3">
        <v>27878</v>
      </c>
      <c r="B352" s="3" t="s">
        <v>37</v>
      </c>
      <c r="C352" s="3" t="s">
        <v>38</v>
      </c>
      <c r="D352" s="4">
        <v>20000</v>
      </c>
      <c r="E352" s="3">
        <v>0</v>
      </c>
      <c r="F352" s="3" t="s">
        <v>19</v>
      </c>
      <c r="G352" s="3" t="s">
        <v>25</v>
      </c>
      <c r="H352" s="3" t="s">
        <v>18</v>
      </c>
      <c r="I352" s="3">
        <v>0</v>
      </c>
      <c r="J352" s="3" t="s">
        <v>16</v>
      </c>
      <c r="K352" s="3" t="s">
        <v>24</v>
      </c>
      <c r="L352" s="3">
        <v>28</v>
      </c>
      <c r="M352" s="3" t="s">
        <v>53</v>
      </c>
      <c r="N352" s="3" t="s">
        <v>49</v>
      </c>
      <c r="O352" s="3" t="s">
        <v>15</v>
      </c>
    </row>
    <row r="353" spans="1:15" x14ac:dyDescent="0.25">
      <c r="A353" s="3">
        <v>13572</v>
      </c>
      <c r="B353" s="3" t="s">
        <v>37</v>
      </c>
      <c r="C353" s="3" t="s">
        <v>38</v>
      </c>
      <c r="D353" s="4">
        <v>10000</v>
      </c>
      <c r="E353" s="3">
        <v>3</v>
      </c>
      <c r="F353" s="3" t="s">
        <v>27</v>
      </c>
      <c r="G353" s="3" t="s">
        <v>25</v>
      </c>
      <c r="H353" s="3" t="s">
        <v>15</v>
      </c>
      <c r="I353" s="3">
        <v>0</v>
      </c>
      <c r="J353" s="3" t="s">
        <v>16</v>
      </c>
      <c r="K353" s="3" t="s">
        <v>17</v>
      </c>
      <c r="L353" s="3">
        <v>37</v>
      </c>
      <c r="M353" s="3" t="s">
        <v>53</v>
      </c>
      <c r="N353" s="3" t="s">
        <v>49</v>
      </c>
      <c r="O353" s="3" t="s">
        <v>15</v>
      </c>
    </row>
    <row r="354" spans="1:15" x14ac:dyDescent="0.25">
      <c r="A354" s="3">
        <v>27941</v>
      </c>
      <c r="B354" s="3" t="s">
        <v>36</v>
      </c>
      <c r="C354" s="3" t="s">
        <v>39</v>
      </c>
      <c r="D354" s="4">
        <v>80000</v>
      </c>
      <c r="E354" s="3">
        <v>4</v>
      </c>
      <c r="F354" s="3" t="s">
        <v>19</v>
      </c>
      <c r="G354" s="3" t="s">
        <v>21</v>
      </c>
      <c r="H354" s="3" t="s">
        <v>15</v>
      </c>
      <c r="I354" s="3">
        <v>2</v>
      </c>
      <c r="J354" s="3" t="s">
        <v>22</v>
      </c>
      <c r="K354" s="3" t="s">
        <v>17</v>
      </c>
      <c r="L354" s="3">
        <v>53</v>
      </c>
      <c r="M354" s="3" t="s">
        <v>51</v>
      </c>
      <c r="N354" s="3" t="s">
        <v>48</v>
      </c>
      <c r="O354" s="3" t="s">
        <v>18</v>
      </c>
    </row>
    <row r="355" spans="1:15" x14ac:dyDescent="0.25">
      <c r="A355" s="3">
        <v>26354</v>
      </c>
      <c r="B355" s="3" t="s">
        <v>37</v>
      </c>
      <c r="C355" s="3" t="s">
        <v>38</v>
      </c>
      <c r="D355" s="4">
        <v>40000</v>
      </c>
      <c r="E355" s="3">
        <v>0</v>
      </c>
      <c r="F355" s="3" t="s">
        <v>31</v>
      </c>
      <c r="G355" s="3" t="s">
        <v>20</v>
      </c>
      <c r="H355" s="3" t="s">
        <v>18</v>
      </c>
      <c r="I355" s="3">
        <v>0</v>
      </c>
      <c r="J355" s="3" t="s">
        <v>16</v>
      </c>
      <c r="K355" s="3" t="s">
        <v>17</v>
      </c>
      <c r="L355" s="3">
        <v>38</v>
      </c>
      <c r="M355" s="3" t="s">
        <v>53</v>
      </c>
      <c r="N355" s="3" t="s">
        <v>49</v>
      </c>
      <c r="O355" s="3" t="s">
        <v>15</v>
      </c>
    </row>
    <row r="356" spans="1:15" x14ac:dyDescent="0.25">
      <c r="A356" s="3">
        <v>14785</v>
      </c>
      <c r="B356" s="3" t="s">
        <v>37</v>
      </c>
      <c r="C356" s="3" t="s">
        <v>38</v>
      </c>
      <c r="D356" s="4">
        <v>30000</v>
      </c>
      <c r="E356" s="3">
        <v>1</v>
      </c>
      <c r="F356" s="3" t="s">
        <v>13</v>
      </c>
      <c r="G356" s="3" t="s">
        <v>20</v>
      </c>
      <c r="H356" s="3" t="s">
        <v>18</v>
      </c>
      <c r="I356" s="3">
        <v>1</v>
      </c>
      <c r="J356" s="3" t="s">
        <v>26</v>
      </c>
      <c r="K356" s="3" t="s">
        <v>17</v>
      </c>
      <c r="L356" s="3">
        <v>39</v>
      </c>
      <c r="M356" s="3" t="s">
        <v>53</v>
      </c>
      <c r="N356" s="3" t="s">
        <v>49</v>
      </c>
      <c r="O356" s="3" t="s">
        <v>18</v>
      </c>
    </row>
    <row r="357" spans="1:15" x14ac:dyDescent="0.25">
      <c r="A357" s="3">
        <v>17238</v>
      </c>
      <c r="B357" s="3" t="s">
        <v>37</v>
      </c>
      <c r="C357" s="3" t="s">
        <v>38</v>
      </c>
      <c r="D357" s="4">
        <v>80000</v>
      </c>
      <c r="E357" s="3">
        <v>0</v>
      </c>
      <c r="F357" s="3" t="s">
        <v>13</v>
      </c>
      <c r="G357" s="3" t="s">
        <v>21</v>
      </c>
      <c r="H357" s="3" t="s">
        <v>15</v>
      </c>
      <c r="I357" s="3">
        <v>3</v>
      </c>
      <c r="J357" s="3" t="s">
        <v>46</v>
      </c>
      <c r="K357" s="3" t="s">
        <v>24</v>
      </c>
      <c r="L357" s="3">
        <v>32</v>
      </c>
      <c r="M357" s="3" t="s">
        <v>53</v>
      </c>
      <c r="N357" s="3" t="s">
        <v>49</v>
      </c>
      <c r="O357" s="3" t="s">
        <v>18</v>
      </c>
    </row>
    <row r="358" spans="1:15" x14ac:dyDescent="0.25">
      <c r="A358" s="3">
        <v>23608</v>
      </c>
      <c r="B358" s="3" t="s">
        <v>36</v>
      </c>
      <c r="C358" s="3" t="s">
        <v>39</v>
      </c>
      <c r="D358" s="4">
        <v>150000</v>
      </c>
      <c r="E358" s="3">
        <v>3</v>
      </c>
      <c r="F358" s="3" t="s">
        <v>27</v>
      </c>
      <c r="G358" s="3" t="s">
        <v>21</v>
      </c>
      <c r="H358" s="3" t="s">
        <v>15</v>
      </c>
      <c r="I358" s="3">
        <v>3</v>
      </c>
      <c r="J358" s="3" t="s">
        <v>16</v>
      </c>
      <c r="K358" s="3" t="s">
        <v>17</v>
      </c>
      <c r="L358" s="3">
        <v>51</v>
      </c>
      <c r="M358" s="3" t="s">
        <v>51</v>
      </c>
      <c r="N358" s="3" t="s">
        <v>48</v>
      </c>
      <c r="O358" s="3" t="s">
        <v>15</v>
      </c>
    </row>
    <row r="359" spans="1:15" x14ac:dyDescent="0.25">
      <c r="A359" s="3">
        <v>22538</v>
      </c>
      <c r="B359" s="3" t="s">
        <v>37</v>
      </c>
      <c r="C359" s="3" t="s">
        <v>39</v>
      </c>
      <c r="D359" s="4">
        <v>10000</v>
      </c>
      <c r="E359" s="3">
        <v>0</v>
      </c>
      <c r="F359" s="3" t="s">
        <v>29</v>
      </c>
      <c r="G359" s="3" t="s">
        <v>25</v>
      </c>
      <c r="H359" s="3" t="s">
        <v>15</v>
      </c>
      <c r="I359" s="3">
        <v>2</v>
      </c>
      <c r="J359" s="3" t="s">
        <v>26</v>
      </c>
      <c r="K359" s="3" t="s">
        <v>17</v>
      </c>
      <c r="L359" s="3">
        <v>33</v>
      </c>
      <c r="M359" s="3" t="s">
        <v>53</v>
      </c>
      <c r="N359" s="3" t="s">
        <v>49</v>
      </c>
      <c r="O359" s="3" t="s">
        <v>18</v>
      </c>
    </row>
    <row r="360" spans="1:15" x14ac:dyDescent="0.25">
      <c r="A360" s="3">
        <v>12332</v>
      </c>
      <c r="B360" s="3" t="s">
        <v>36</v>
      </c>
      <c r="C360" s="3" t="s">
        <v>38</v>
      </c>
      <c r="D360" s="4">
        <v>90000</v>
      </c>
      <c r="E360" s="3">
        <v>4</v>
      </c>
      <c r="F360" s="3" t="s">
        <v>27</v>
      </c>
      <c r="G360" s="3" t="s">
        <v>28</v>
      </c>
      <c r="H360" s="3" t="s">
        <v>15</v>
      </c>
      <c r="I360" s="3">
        <v>3</v>
      </c>
      <c r="J360" s="3" t="s">
        <v>23</v>
      </c>
      <c r="K360" s="3" t="s">
        <v>17</v>
      </c>
      <c r="L360" s="3">
        <v>58</v>
      </c>
      <c r="M360" s="3" t="s">
        <v>54</v>
      </c>
      <c r="N360" s="3" t="s">
        <v>50</v>
      </c>
      <c r="O360" s="3" t="s">
        <v>15</v>
      </c>
    </row>
    <row r="361" spans="1:15" x14ac:dyDescent="0.25">
      <c r="A361" s="3">
        <v>17230</v>
      </c>
      <c r="B361" s="3" t="s">
        <v>36</v>
      </c>
      <c r="C361" s="3" t="s">
        <v>38</v>
      </c>
      <c r="D361" s="4">
        <v>80000</v>
      </c>
      <c r="E361" s="3">
        <v>0</v>
      </c>
      <c r="F361" s="3" t="s">
        <v>13</v>
      </c>
      <c r="G361" s="3" t="s">
        <v>21</v>
      </c>
      <c r="H361" s="3" t="s">
        <v>15</v>
      </c>
      <c r="I361" s="3">
        <v>3</v>
      </c>
      <c r="J361" s="3" t="s">
        <v>46</v>
      </c>
      <c r="K361" s="3" t="s">
        <v>24</v>
      </c>
      <c r="L361" s="3">
        <v>30</v>
      </c>
      <c r="M361" s="3" t="s">
        <v>53</v>
      </c>
      <c r="N361" s="3" t="s">
        <v>49</v>
      </c>
      <c r="O361" s="3" t="s">
        <v>18</v>
      </c>
    </row>
    <row r="362" spans="1:15" x14ac:dyDescent="0.25">
      <c r="A362" s="3">
        <v>13082</v>
      </c>
      <c r="B362" s="3" t="s">
        <v>37</v>
      </c>
      <c r="C362" s="3" t="s">
        <v>38</v>
      </c>
      <c r="D362" s="4">
        <v>130000</v>
      </c>
      <c r="E362" s="3">
        <v>0</v>
      </c>
      <c r="F362" s="3" t="s">
        <v>31</v>
      </c>
      <c r="G362" s="3" t="s">
        <v>28</v>
      </c>
      <c r="H362" s="3" t="s">
        <v>15</v>
      </c>
      <c r="I362" s="3">
        <v>0</v>
      </c>
      <c r="J362" s="3" t="s">
        <v>22</v>
      </c>
      <c r="K362" s="3" t="s">
        <v>24</v>
      </c>
      <c r="L362" s="3">
        <v>48</v>
      </c>
      <c r="M362" s="3" t="s">
        <v>51</v>
      </c>
      <c r="N362" s="3" t="s">
        <v>48</v>
      </c>
      <c r="O362" s="3" t="s">
        <v>15</v>
      </c>
    </row>
    <row r="363" spans="1:15" x14ac:dyDescent="0.25">
      <c r="A363" s="3">
        <v>22518</v>
      </c>
      <c r="B363" s="3" t="s">
        <v>37</v>
      </c>
      <c r="C363" s="3" t="s">
        <v>39</v>
      </c>
      <c r="D363" s="4">
        <v>30000</v>
      </c>
      <c r="E363" s="3">
        <v>3</v>
      </c>
      <c r="F363" s="3" t="s">
        <v>19</v>
      </c>
      <c r="G363" s="3" t="s">
        <v>20</v>
      </c>
      <c r="H363" s="3" t="s">
        <v>18</v>
      </c>
      <c r="I363" s="3">
        <v>2</v>
      </c>
      <c r="J363" s="3" t="s">
        <v>16</v>
      </c>
      <c r="K363" s="3" t="s">
        <v>17</v>
      </c>
      <c r="L363" s="3">
        <v>27</v>
      </c>
      <c r="M363" s="3" t="s">
        <v>53</v>
      </c>
      <c r="N363" s="3" t="s">
        <v>49</v>
      </c>
      <c r="O363" s="3" t="s">
        <v>15</v>
      </c>
    </row>
    <row r="364" spans="1:15" x14ac:dyDescent="0.25">
      <c r="A364" s="3">
        <v>13687</v>
      </c>
      <c r="B364" s="3" t="s">
        <v>36</v>
      </c>
      <c r="C364" s="3" t="s">
        <v>38</v>
      </c>
      <c r="D364" s="4">
        <v>40000</v>
      </c>
      <c r="E364" s="3">
        <v>1</v>
      </c>
      <c r="F364" s="3" t="s">
        <v>13</v>
      </c>
      <c r="G364" s="3" t="s">
        <v>14</v>
      </c>
      <c r="H364" s="3" t="s">
        <v>15</v>
      </c>
      <c r="I364" s="3">
        <v>1</v>
      </c>
      <c r="J364" s="3" t="s">
        <v>16</v>
      </c>
      <c r="K364" s="3" t="s">
        <v>17</v>
      </c>
      <c r="L364" s="3">
        <v>33</v>
      </c>
      <c r="M364" s="3" t="s">
        <v>53</v>
      </c>
      <c r="N364" s="3" t="s">
        <v>49</v>
      </c>
      <c r="O364" s="3" t="s">
        <v>15</v>
      </c>
    </row>
    <row r="365" spans="1:15" x14ac:dyDescent="0.25">
      <c r="A365" s="3">
        <v>23571</v>
      </c>
      <c r="B365" s="3" t="s">
        <v>36</v>
      </c>
      <c r="C365" s="3" t="s">
        <v>39</v>
      </c>
      <c r="D365" s="4">
        <v>40000</v>
      </c>
      <c r="E365" s="3">
        <v>2</v>
      </c>
      <c r="F365" s="3" t="s">
        <v>13</v>
      </c>
      <c r="G365" s="3" t="s">
        <v>28</v>
      </c>
      <c r="H365" s="3" t="s">
        <v>15</v>
      </c>
      <c r="I365" s="3">
        <v>2</v>
      </c>
      <c r="J365" s="3" t="s">
        <v>16</v>
      </c>
      <c r="K365" s="3" t="s">
        <v>24</v>
      </c>
      <c r="L365" s="3">
        <v>66</v>
      </c>
      <c r="M365" s="3" t="s">
        <v>54</v>
      </c>
      <c r="N365" s="3" t="s">
        <v>50</v>
      </c>
      <c r="O365" s="3" t="s">
        <v>15</v>
      </c>
    </row>
    <row r="366" spans="1:15" x14ac:dyDescent="0.25">
      <c r="A366" s="3">
        <v>19305</v>
      </c>
      <c r="B366" s="3" t="s">
        <v>37</v>
      </c>
      <c r="C366" s="3" t="s">
        <v>39</v>
      </c>
      <c r="D366" s="4">
        <v>10000</v>
      </c>
      <c r="E366" s="3">
        <v>2</v>
      </c>
      <c r="F366" s="3" t="s">
        <v>27</v>
      </c>
      <c r="G366" s="3" t="s">
        <v>25</v>
      </c>
      <c r="H366" s="3" t="s">
        <v>15</v>
      </c>
      <c r="I366" s="3">
        <v>1</v>
      </c>
      <c r="J366" s="3" t="s">
        <v>16</v>
      </c>
      <c r="K366" s="3" t="s">
        <v>17</v>
      </c>
      <c r="L366" s="3">
        <v>38</v>
      </c>
      <c r="M366" s="3" t="s">
        <v>53</v>
      </c>
      <c r="N366" s="3" t="s">
        <v>49</v>
      </c>
      <c r="O366" s="3" t="s">
        <v>15</v>
      </c>
    </row>
    <row r="367" spans="1:15" x14ac:dyDescent="0.25">
      <c r="A367" s="3">
        <v>22636</v>
      </c>
      <c r="B367" s="3" t="s">
        <v>37</v>
      </c>
      <c r="C367" s="3" t="s">
        <v>39</v>
      </c>
      <c r="D367" s="4">
        <v>40000</v>
      </c>
      <c r="E367" s="3">
        <v>0</v>
      </c>
      <c r="F367" s="3" t="s">
        <v>13</v>
      </c>
      <c r="G367" s="3" t="s">
        <v>20</v>
      </c>
      <c r="H367" s="3" t="s">
        <v>18</v>
      </c>
      <c r="I367" s="3">
        <v>0</v>
      </c>
      <c r="J367" s="3" t="s">
        <v>16</v>
      </c>
      <c r="K367" s="3" t="s">
        <v>17</v>
      </c>
      <c r="L367" s="3">
        <v>38</v>
      </c>
      <c r="M367" s="3" t="s">
        <v>53</v>
      </c>
      <c r="N367" s="3" t="s">
        <v>49</v>
      </c>
      <c r="O367" s="3" t="s">
        <v>15</v>
      </c>
    </row>
    <row r="368" spans="1:15" x14ac:dyDescent="0.25">
      <c r="A368" s="3">
        <v>17310</v>
      </c>
      <c r="B368" s="3" t="s">
        <v>36</v>
      </c>
      <c r="C368" s="3" t="s">
        <v>38</v>
      </c>
      <c r="D368" s="4">
        <v>60000</v>
      </c>
      <c r="E368" s="3">
        <v>1</v>
      </c>
      <c r="F368" s="3" t="s">
        <v>19</v>
      </c>
      <c r="G368" s="3" t="s">
        <v>14</v>
      </c>
      <c r="H368" s="3" t="s">
        <v>15</v>
      </c>
      <c r="I368" s="3">
        <v>1</v>
      </c>
      <c r="J368" s="3" t="s">
        <v>16</v>
      </c>
      <c r="K368" s="3" t="s">
        <v>24</v>
      </c>
      <c r="L368" s="3">
        <v>45</v>
      </c>
      <c r="M368" s="3" t="s">
        <v>51</v>
      </c>
      <c r="N368" s="3" t="s">
        <v>48</v>
      </c>
      <c r="O368" s="3" t="s">
        <v>15</v>
      </c>
    </row>
    <row r="369" spans="1:15" x14ac:dyDescent="0.25">
      <c r="A369" s="3">
        <v>12133</v>
      </c>
      <c r="B369" s="3" t="s">
        <v>36</v>
      </c>
      <c r="C369" s="3" t="s">
        <v>39</v>
      </c>
      <c r="D369" s="4">
        <v>130000</v>
      </c>
      <c r="E369" s="3">
        <v>3</v>
      </c>
      <c r="F369" s="3" t="s">
        <v>19</v>
      </c>
      <c r="G369" s="3" t="s">
        <v>21</v>
      </c>
      <c r="H369" s="3" t="s">
        <v>15</v>
      </c>
      <c r="I369" s="3">
        <v>3</v>
      </c>
      <c r="J369" s="3" t="s">
        <v>23</v>
      </c>
      <c r="K369" s="3" t="s">
        <v>17</v>
      </c>
      <c r="L369" s="3">
        <v>50</v>
      </c>
      <c r="M369" s="3" t="s">
        <v>51</v>
      </c>
      <c r="N369" s="3" t="s">
        <v>48</v>
      </c>
      <c r="O369" s="3" t="s">
        <v>15</v>
      </c>
    </row>
    <row r="370" spans="1:15" x14ac:dyDescent="0.25">
      <c r="A370" s="3">
        <v>25918</v>
      </c>
      <c r="B370" s="3" t="s">
        <v>37</v>
      </c>
      <c r="C370" s="3" t="s">
        <v>39</v>
      </c>
      <c r="D370" s="4">
        <v>30000</v>
      </c>
      <c r="E370" s="3">
        <v>2</v>
      </c>
      <c r="F370" s="3" t="s">
        <v>19</v>
      </c>
      <c r="G370" s="3" t="s">
        <v>20</v>
      </c>
      <c r="H370" s="3" t="s">
        <v>18</v>
      </c>
      <c r="I370" s="3">
        <v>2</v>
      </c>
      <c r="J370" s="3" t="s">
        <v>23</v>
      </c>
      <c r="K370" s="3" t="s">
        <v>24</v>
      </c>
      <c r="L370" s="3">
        <v>60</v>
      </c>
      <c r="M370" s="3" t="s">
        <v>54</v>
      </c>
      <c r="N370" s="3" t="s">
        <v>50</v>
      </c>
      <c r="O370" s="3" t="s">
        <v>15</v>
      </c>
    </row>
    <row r="371" spans="1:15" x14ac:dyDescent="0.25">
      <c r="A371" s="3">
        <v>25752</v>
      </c>
      <c r="B371" s="3" t="s">
        <v>37</v>
      </c>
      <c r="C371" s="3" t="s">
        <v>39</v>
      </c>
      <c r="D371" s="4">
        <v>20000</v>
      </c>
      <c r="E371" s="3">
        <v>2</v>
      </c>
      <c r="F371" s="3" t="s">
        <v>19</v>
      </c>
      <c r="G371" s="3" t="s">
        <v>25</v>
      </c>
      <c r="H371" s="3" t="s">
        <v>18</v>
      </c>
      <c r="I371" s="3">
        <v>1</v>
      </c>
      <c r="J371" s="3" t="s">
        <v>16</v>
      </c>
      <c r="K371" s="3" t="s">
        <v>17</v>
      </c>
      <c r="L371" s="3">
        <v>53</v>
      </c>
      <c r="M371" s="3" t="s">
        <v>51</v>
      </c>
      <c r="N371" s="3" t="s">
        <v>48</v>
      </c>
      <c r="O371" s="3" t="s">
        <v>15</v>
      </c>
    </row>
    <row r="372" spans="1:15" x14ac:dyDescent="0.25">
      <c r="A372" s="3">
        <v>17324</v>
      </c>
      <c r="B372" s="3" t="s">
        <v>36</v>
      </c>
      <c r="C372" s="3" t="s">
        <v>39</v>
      </c>
      <c r="D372" s="4">
        <v>100000</v>
      </c>
      <c r="E372" s="3">
        <v>4</v>
      </c>
      <c r="F372" s="3" t="s">
        <v>13</v>
      </c>
      <c r="G372" s="3" t="s">
        <v>21</v>
      </c>
      <c r="H372" s="3" t="s">
        <v>15</v>
      </c>
      <c r="I372" s="3">
        <v>1</v>
      </c>
      <c r="J372" s="3" t="s">
        <v>46</v>
      </c>
      <c r="K372" s="3" t="s">
        <v>24</v>
      </c>
      <c r="L372" s="3">
        <v>46</v>
      </c>
      <c r="M372" s="3" t="s">
        <v>51</v>
      </c>
      <c r="N372" s="3" t="s">
        <v>48</v>
      </c>
      <c r="O372" s="3" t="s">
        <v>18</v>
      </c>
    </row>
    <row r="373" spans="1:15" x14ac:dyDescent="0.25">
      <c r="A373" s="3">
        <v>22918</v>
      </c>
      <c r="B373" s="3" t="s">
        <v>37</v>
      </c>
      <c r="C373" s="3" t="s">
        <v>38</v>
      </c>
      <c r="D373" s="4">
        <v>80000</v>
      </c>
      <c r="E373" s="3">
        <v>5</v>
      </c>
      <c r="F373" s="3" t="s">
        <v>31</v>
      </c>
      <c r="G373" s="3" t="s">
        <v>28</v>
      </c>
      <c r="H373" s="3" t="s">
        <v>15</v>
      </c>
      <c r="I373" s="3">
        <v>3</v>
      </c>
      <c r="J373" s="3" t="s">
        <v>16</v>
      </c>
      <c r="K373" s="3" t="s">
        <v>24</v>
      </c>
      <c r="L373" s="3">
        <v>50</v>
      </c>
      <c r="M373" s="3" t="s">
        <v>51</v>
      </c>
      <c r="N373" s="3" t="s">
        <v>48</v>
      </c>
      <c r="O373" s="3" t="s">
        <v>18</v>
      </c>
    </row>
    <row r="374" spans="1:15" x14ac:dyDescent="0.25">
      <c r="A374" s="3">
        <v>12510</v>
      </c>
      <c r="B374" s="3" t="s">
        <v>36</v>
      </c>
      <c r="C374" s="3" t="s">
        <v>38</v>
      </c>
      <c r="D374" s="4">
        <v>40000</v>
      </c>
      <c r="E374" s="3">
        <v>1</v>
      </c>
      <c r="F374" s="3" t="s">
        <v>13</v>
      </c>
      <c r="G374" s="3" t="s">
        <v>14</v>
      </c>
      <c r="H374" s="3" t="s">
        <v>15</v>
      </c>
      <c r="I374" s="3">
        <v>1</v>
      </c>
      <c r="J374" s="3" t="s">
        <v>16</v>
      </c>
      <c r="K374" s="3" t="s">
        <v>17</v>
      </c>
      <c r="L374" s="3">
        <v>43</v>
      </c>
      <c r="M374" s="3" t="s">
        <v>53</v>
      </c>
      <c r="N374" s="3" t="s">
        <v>49</v>
      </c>
      <c r="O374" s="3" t="s">
        <v>15</v>
      </c>
    </row>
    <row r="375" spans="1:15" x14ac:dyDescent="0.25">
      <c r="A375" s="3">
        <v>25512</v>
      </c>
      <c r="B375" s="3" t="s">
        <v>37</v>
      </c>
      <c r="C375" s="3" t="s">
        <v>38</v>
      </c>
      <c r="D375" s="4">
        <v>20000</v>
      </c>
      <c r="E375" s="3">
        <v>0</v>
      </c>
      <c r="F375" s="3" t="s">
        <v>27</v>
      </c>
      <c r="G375" s="3" t="s">
        <v>25</v>
      </c>
      <c r="H375" s="3" t="s">
        <v>18</v>
      </c>
      <c r="I375" s="3">
        <v>1</v>
      </c>
      <c r="J375" s="3" t="s">
        <v>22</v>
      </c>
      <c r="K375" s="3" t="s">
        <v>17</v>
      </c>
      <c r="L375" s="3">
        <v>30</v>
      </c>
      <c r="M375" s="3" t="s">
        <v>53</v>
      </c>
      <c r="N375" s="3" t="s">
        <v>49</v>
      </c>
      <c r="O375" s="3" t="s">
        <v>18</v>
      </c>
    </row>
    <row r="376" spans="1:15" x14ac:dyDescent="0.25">
      <c r="A376" s="3">
        <v>16179</v>
      </c>
      <c r="B376" s="3" t="s">
        <v>37</v>
      </c>
      <c r="C376" s="3" t="s">
        <v>39</v>
      </c>
      <c r="D376" s="4">
        <v>80000</v>
      </c>
      <c r="E376" s="3">
        <v>5</v>
      </c>
      <c r="F376" s="3" t="s">
        <v>13</v>
      </c>
      <c r="G376" s="3" t="s">
        <v>21</v>
      </c>
      <c r="H376" s="3" t="s">
        <v>15</v>
      </c>
      <c r="I376" s="3">
        <v>4</v>
      </c>
      <c r="J376" s="3" t="s">
        <v>26</v>
      </c>
      <c r="K376" s="3" t="s">
        <v>24</v>
      </c>
      <c r="L376" s="3">
        <v>38</v>
      </c>
      <c r="M376" s="3" t="s">
        <v>53</v>
      </c>
      <c r="N376" s="3" t="s">
        <v>49</v>
      </c>
      <c r="O376" s="3" t="s">
        <v>18</v>
      </c>
    </row>
    <row r="377" spans="1:15" x14ac:dyDescent="0.25">
      <c r="A377" s="3">
        <v>15628</v>
      </c>
      <c r="B377" s="3" t="s">
        <v>36</v>
      </c>
      <c r="C377" s="3" t="s">
        <v>39</v>
      </c>
      <c r="D377" s="4">
        <v>40000</v>
      </c>
      <c r="E377" s="3">
        <v>1</v>
      </c>
      <c r="F377" s="3" t="s">
        <v>13</v>
      </c>
      <c r="G377" s="3" t="s">
        <v>14</v>
      </c>
      <c r="H377" s="3" t="s">
        <v>15</v>
      </c>
      <c r="I377" s="3">
        <v>1</v>
      </c>
      <c r="J377" s="3" t="s">
        <v>16</v>
      </c>
      <c r="K377" s="3" t="s">
        <v>17</v>
      </c>
      <c r="L377" s="3">
        <v>89</v>
      </c>
      <c r="M377" s="3" t="s">
        <v>54</v>
      </c>
      <c r="N377" s="3" t="s">
        <v>50</v>
      </c>
      <c r="O377" s="3" t="s">
        <v>18</v>
      </c>
    </row>
    <row r="378" spans="1:15" x14ac:dyDescent="0.25">
      <c r="A378" s="3">
        <v>20977</v>
      </c>
      <c r="B378" s="3" t="s">
        <v>36</v>
      </c>
      <c r="C378" s="3" t="s">
        <v>38</v>
      </c>
      <c r="D378" s="4">
        <v>20000</v>
      </c>
      <c r="E378" s="3">
        <v>1</v>
      </c>
      <c r="F378" s="3" t="s">
        <v>13</v>
      </c>
      <c r="G378" s="3" t="s">
        <v>20</v>
      </c>
      <c r="H378" s="3" t="s">
        <v>15</v>
      </c>
      <c r="I378" s="3">
        <v>0</v>
      </c>
      <c r="J378" s="3" t="s">
        <v>16</v>
      </c>
      <c r="K378" s="3" t="s">
        <v>17</v>
      </c>
      <c r="L378" s="3">
        <v>64</v>
      </c>
      <c r="M378" s="3" t="s">
        <v>54</v>
      </c>
      <c r="N378" s="3" t="s">
        <v>50</v>
      </c>
      <c r="O378" s="3" t="s">
        <v>15</v>
      </c>
    </row>
    <row r="379" spans="1:15" x14ac:dyDescent="0.25">
      <c r="A379" s="3">
        <v>18140</v>
      </c>
      <c r="B379" s="3" t="s">
        <v>36</v>
      </c>
      <c r="C379" s="3" t="s">
        <v>38</v>
      </c>
      <c r="D379" s="4">
        <v>130000</v>
      </c>
      <c r="E379" s="3">
        <v>3</v>
      </c>
      <c r="F379" s="3" t="s">
        <v>19</v>
      </c>
      <c r="G379" s="3" t="s">
        <v>21</v>
      </c>
      <c r="H379" s="3" t="s">
        <v>18</v>
      </c>
      <c r="I379" s="3">
        <v>3</v>
      </c>
      <c r="J379" s="3" t="s">
        <v>23</v>
      </c>
      <c r="K379" s="3" t="s">
        <v>17</v>
      </c>
      <c r="L379" s="3">
        <v>51</v>
      </c>
      <c r="M379" s="3" t="s">
        <v>51</v>
      </c>
      <c r="N379" s="3" t="s">
        <v>48</v>
      </c>
      <c r="O379" s="3" t="s">
        <v>15</v>
      </c>
    </row>
    <row r="380" spans="1:15" x14ac:dyDescent="0.25">
      <c r="A380" s="3">
        <v>20417</v>
      </c>
      <c r="B380" s="3" t="s">
        <v>36</v>
      </c>
      <c r="C380" s="3" t="s">
        <v>38</v>
      </c>
      <c r="D380" s="4">
        <v>30000</v>
      </c>
      <c r="E380" s="3">
        <v>3</v>
      </c>
      <c r="F380" s="3" t="s">
        <v>19</v>
      </c>
      <c r="G380" s="3" t="s">
        <v>20</v>
      </c>
      <c r="H380" s="3" t="s">
        <v>18</v>
      </c>
      <c r="I380" s="3">
        <v>2</v>
      </c>
      <c r="J380" s="3" t="s">
        <v>23</v>
      </c>
      <c r="K380" s="3" t="s">
        <v>24</v>
      </c>
      <c r="L380" s="3">
        <v>56</v>
      </c>
      <c r="M380" s="3" t="s">
        <v>54</v>
      </c>
      <c r="N380" s="3" t="s">
        <v>50</v>
      </c>
      <c r="O380" s="3" t="s">
        <v>18</v>
      </c>
    </row>
    <row r="381" spans="1:15" x14ac:dyDescent="0.25">
      <c r="A381" s="3">
        <v>18267</v>
      </c>
      <c r="B381" s="3" t="s">
        <v>36</v>
      </c>
      <c r="C381" s="3" t="s">
        <v>38</v>
      </c>
      <c r="D381" s="4">
        <v>60000</v>
      </c>
      <c r="E381" s="3">
        <v>3</v>
      </c>
      <c r="F381" s="3" t="s">
        <v>13</v>
      </c>
      <c r="G381" s="3" t="s">
        <v>21</v>
      </c>
      <c r="H381" s="3" t="s">
        <v>15</v>
      </c>
      <c r="I381" s="3">
        <v>2</v>
      </c>
      <c r="J381" s="3" t="s">
        <v>23</v>
      </c>
      <c r="K381" s="3" t="s">
        <v>24</v>
      </c>
      <c r="L381" s="3">
        <v>43</v>
      </c>
      <c r="M381" s="3" t="s">
        <v>53</v>
      </c>
      <c r="N381" s="3" t="s">
        <v>49</v>
      </c>
      <c r="O381" s="3" t="s">
        <v>18</v>
      </c>
    </row>
    <row r="382" spans="1:15" x14ac:dyDescent="0.25">
      <c r="A382" s="3">
        <v>13620</v>
      </c>
      <c r="B382" s="3" t="s">
        <v>37</v>
      </c>
      <c r="C382" s="3" t="s">
        <v>38</v>
      </c>
      <c r="D382" s="4">
        <v>70000</v>
      </c>
      <c r="E382" s="3">
        <v>0</v>
      </c>
      <c r="F382" s="3" t="s">
        <v>13</v>
      </c>
      <c r="G382" s="3" t="s">
        <v>21</v>
      </c>
      <c r="H382" s="3" t="s">
        <v>18</v>
      </c>
      <c r="I382" s="3">
        <v>3</v>
      </c>
      <c r="J382" s="3" t="s">
        <v>46</v>
      </c>
      <c r="K382" s="3" t="s">
        <v>24</v>
      </c>
      <c r="L382" s="3">
        <v>30</v>
      </c>
      <c r="M382" s="3" t="s">
        <v>53</v>
      </c>
      <c r="N382" s="3" t="s">
        <v>49</v>
      </c>
      <c r="O382" s="3" t="s">
        <v>15</v>
      </c>
    </row>
    <row r="383" spans="1:15" x14ac:dyDescent="0.25">
      <c r="A383" s="3">
        <v>22974</v>
      </c>
      <c r="B383" s="3" t="s">
        <v>36</v>
      </c>
      <c r="C383" s="3" t="s">
        <v>39</v>
      </c>
      <c r="D383" s="4">
        <v>30000</v>
      </c>
      <c r="E383" s="3">
        <v>2</v>
      </c>
      <c r="F383" s="3" t="s">
        <v>19</v>
      </c>
      <c r="G383" s="3" t="s">
        <v>20</v>
      </c>
      <c r="H383" s="3" t="s">
        <v>15</v>
      </c>
      <c r="I383" s="3">
        <v>2</v>
      </c>
      <c r="J383" s="3" t="s">
        <v>23</v>
      </c>
      <c r="K383" s="3" t="s">
        <v>24</v>
      </c>
      <c r="L383" s="3">
        <v>69</v>
      </c>
      <c r="M383" s="3" t="s">
        <v>54</v>
      </c>
      <c r="N383" s="3" t="s">
        <v>50</v>
      </c>
      <c r="O383" s="3" t="s">
        <v>18</v>
      </c>
    </row>
    <row r="384" spans="1:15" x14ac:dyDescent="0.25">
      <c r="A384" s="3">
        <v>13586</v>
      </c>
      <c r="B384" s="3" t="s">
        <v>36</v>
      </c>
      <c r="C384" s="3" t="s">
        <v>38</v>
      </c>
      <c r="D384" s="4">
        <v>80000</v>
      </c>
      <c r="E384" s="3">
        <v>4</v>
      </c>
      <c r="F384" s="3" t="s">
        <v>19</v>
      </c>
      <c r="G384" s="3" t="s">
        <v>21</v>
      </c>
      <c r="H384" s="3" t="s">
        <v>15</v>
      </c>
      <c r="I384" s="3">
        <v>2</v>
      </c>
      <c r="J384" s="3" t="s">
        <v>46</v>
      </c>
      <c r="K384" s="3" t="s">
        <v>17</v>
      </c>
      <c r="L384" s="3">
        <v>53</v>
      </c>
      <c r="M384" s="3" t="s">
        <v>51</v>
      </c>
      <c r="N384" s="3" t="s">
        <v>48</v>
      </c>
      <c r="O384" s="3" t="s">
        <v>18</v>
      </c>
    </row>
    <row r="385" spans="1:15" x14ac:dyDescent="0.25">
      <c r="A385" s="3">
        <v>17978</v>
      </c>
      <c r="B385" s="3" t="s">
        <v>36</v>
      </c>
      <c r="C385" s="3" t="s">
        <v>38</v>
      </c>
      <c r="D385" s="4">
        <v>40000</v>
      </c>
      <c r="E385" s="3">
        <v>0</v>
      </c>
      <c r="F385" s="3" t="s">
        <v>31</v>
      </c>
      <c r="G385" s="3" t="s">
        <v>20</v>
      </c>
      <c r="H385" s="3" t="s">
        <v>15</v>
      </c>
      <c r="I385" s="3">
        <v>0</v>
      </c>
      <c r="J385" s="3" t="s">
        <v>16</v>
      </c>
      <c r="K385" s="3" t="s">
        <v>17</v>
      </c>
      <c r="L385" s="3">
        <v>37</v>
      </c>
      <c r="M385" s="3" t="s">
        <v>53</v>
      </c>
      <c r="N385" s="3" t="s">
        <v>49</v>
      </c>
      <c r="O385" s="3" t="s">
        <v>15</v>
      </c>
    </row>
    <row r="386" spans="1:15" x14ac:dyDescent="0.25">
      <c r="A386" s="3">
        <v>12581</v>
      </c>
      <c r="B386" s="3" t="s">
        <v>37</v>
      </c>
      <c r="C386" s="3" t="s">
        <v>39</v>
      </c>
      <c r="D386" s="4">
        <v>10000</v>
      </c>
      <c r="E386" s="3">
        <v>0</v>
      </c>
      <c r="F386" s="3" t="s">
        <v>19</v>
      </c>
      <c r="G386" s="3" t="s">
        <v>25</v>
      </c>
      <c r="H386" s="3" t="s">
        <v>18</v>
      </c>
      <c r="I386" s="3">
        <v>1</v>
      </c>
      <c r="J386" s="3" t="s">
        <v>16</v>
      </c>
      <c r="K386" s="3" t="s">
        <v>24</v>
      </c>
      <c r="L386" s="3">
        <v>28</v>
      </c>
      <c r="M386" s="3" t="s">
        <v>53</v>
      </c>
      <c r="N386" s="3" t="s">
        <v>49</v>
      </c>
      <c r="O386" s="3" t="s">
        <v>15</v>
      </c>
    </row>
    <row r="387" spans="1:15" x14ac:dyDescent="0.25">
      <c r="A387" s="3">
        <v>18018</v>
      </c>
      <c r="B387" s="3" t="s">
        <v>37</v>
      </c>
      <c r="C387" s="3" t="s">
        <v>38</v>
      </c>
      <c r="D387" s="4">
        <v>30000</v>
      </c>
      <c r="E387" s="3">
        <v>3</v>
      </c>
      <c r="F387" s="3" t="s">
        <v>19</v>
      </c>
      <c r="G387" s="3" t="s">
        <v>20</v>
      </c>
      <c r="H387" s="3" t="s">
        <v>15</v>
      </c>
      <c r="I387" s="3">
        <v>0</v>
      </c>
      <c r="J387" s="3" t="s">
        <v>16</v>
      </c>
      <c r="K387" s="3" t="s">
        <v>17</v>
      </c>
      <c r="L387" s="3">
        <v>43</v>
      </c>
      <c r="M387" s="3" t="s">
        <v>53</v>
      </c>
      <c r="N387" s="3" t="s">
        <v>49</v>
      </c>
      <c r="O387" s="3" t="s">
        <v>18</v>
      </c>
    </row>
    <row r="388" spans="1:15" x14ac:dyDescent="0.25">
      <c r="A388" s="3">
        <v>28957</v>
      </c>
      <c r="B388" s="3" t="s">
        <v>37</v>
      </c>
      <c r="C388" s="3" t="s">
        <v>39</v>
      </c>
      <c r="D388" s="4">
        <v>120000</v>
      </c>
      <c r="E388" s="3">
        <v>0</v>
      </c>
      <c r="F388" s="3" t="s">
        <v>29</v>
      </c>
      <c r="G388" s="3" t="s">
        <v>21</v>
      </c>
      <c r="H388" s="3" t="s">
        <v>15</v>
      </c>
      <c r="I388" s="3">
        <v>4</v>
      </c>
      <c r="J388" s="3" t="s">
        <v>46</v>
      </c>
      <c r="K388" s="3" t="s">
        <v>24</v>
      </c>
      <c r="L388" s="3">
        <v>34</v>
      </c>
      <c r="M388" s="3" t="s">
        <v>53</v>
      </c>
      <c r="N388" s="3" t="s">
        <v>49</v>
      </c>
      <c r="O388" s="3" t="s">
        <v>15</v>
      </c>
    </row>
    <row r="389" spans="1:15" x14ac:dyDescent="0.25">
      <c r="A389" s="3">
        <v>13690</v>
      </c>
      <c r="B389" s="3" t="s">
        <v>37</v>
      </c>
      <c r="C389" s="3" t="s">
        <v>39</v>
      </c>
      <c r="D389" s="4">
        <v>20000</v>
      </c>
      <c r="E389" s="3">
        <v>0</v>
      </c>
      <c r="F389" s="3" t="s">
        <v>29</v>
      </c>
      <c r="G389" s="3" t="s">
        <v>25</v>
      </c>
      <c r="H389" s="3" t="s">
        <v>18</v>
      </c>
      <c r="I389" s="3">
        <v>2</v>
      </c>
      <c r="J389" s="3" t="s">
        <v>26</v>
      </c>
      <c r="K389" s="3" t="s">
        <v>17</v>
      </c>
      <c r="L389" s="3">
        <v>34</v>
      </c>
      <c r="M389" s="3" t="s">
        <v>53</v>
      </c>
      <c r="N389" s="3" t="s">
        <v>49</v>
      </c>
      <c r="O389" s="3" t="s">
        <v>15</v>
      </c>
    </row>
    <row r="390" spans="1:15" x14ac:dyDescent="0.25">
      <c r="A390" s="3">
        <v>12568</v>
      </c>
      <c r="B390" s="3" t="s">
        <v>36</v>
      </c>
      <c r="C390" s="3" t="s">
        <v>39</v>
      </c>
      <c r="D390" s="4">
        <v>30000</v>
      </c>
      <c r="E390" s="3">
        <v>1</v>
      </c>
      <c r="F390" s="3" t="s">
        <v>13</v>
      </c>
      <c r="G390" s="3" t="s">
        <v>20</v>
      </c>
      <c r="H390" s="3" t="s">
        <v>15</v>
      </c>
      <c r="I390" s="3">
        <v>0</v>
      </c>
      <c r="J390" s="3" t="s">
        <v>16</v>
      </c>
      <c r="K390" s="3" t="s">
        <v>17</v>
      </c>
      <c r="L390" s="3">
        <v>64</v>
      </c>
      <c r="M390" s="3" t="s">
        <v>54</v>
      </c>
      <c r="N390" s="3" t="s">
        <v>50</v>
      </c>
      <c r="O390" s="3" t="s">
        <v>18</v>
      </c>
    </row>
    <row r="391" spans="1:15" x14ac:dyDescent="0.25">
      <c r="A391" s="3">
        <v>13122</v>
      </c>
      <c r="B391" s="3" t="s">
        <v>36</v>
      </c>
      <c r="C391" s="3" t="s">
        <v>39</v>
      </c>
      <c r="D391" s="4">
        <v>80000</v>
      </c>
      <c r="E391" s="3">
        <v>0</v>
      </c>
      <c r="F391" s="3" t="s">
        <v>13</v>
      </c>
      <c r="G391" s="3" t="s">
        <v>21</v>
      </c>
      <c r="H391" s="3" t="s">
        <v>15</v>
      </c>
      <c r="I391" s="3">
        <v>1</v>
      </c>
      <c r="J391" s="3" t="s">
        <v>26</v>
      </c>
      <c r="K391" s="3" t="s">
        <v>24</v>
      </c>
      <c r="L391" s="3">
        <v>41</v>
      </c>
      <c r="M391" s="3" t="s">
        <v>53</v>
      </c>
      <c r="N391" s="3" t="s">
        <v>49</v>
      </c>
      <c r="O391" s="3" t="s">
        <v>15</v>
      </c>
    </row>
    <row r="392" spans="1:15" x14ac:dyDescent="0.25">
      <c r="A392" s="3">
        <v>21184</v>
      </c>
      <c r="B392" s="3" t="s">
        <v>37</v>
      </c>
      <c r="C392" s="3" t="s">
        <v>38</v>
      </c>
      <c r="D392" s="4">
        <v>70000</v>
      </c>
      <c r="E392" s="3">
        <v>0</v>
      </c>
      <c r="F392" s="3" t="s">
        <v>13</v>
      </c>
      <c r="G392" s="3" t="s">
        <v>21</v>
      </c>
      <c r="H392" s="3" t="s">
        <v>18</v>
      </c>
      <c r="I392" s="3">
        <v>1</v>
      </c>
      <c r="J392" s="3" t="s">
        <v>23</v>
      </c>
      <c r="K392" s="3" t="s">
        <v>24</v>
      </c>
      <c r="L392" s="3">
        <v>38</v>
      </c>
      <c r="M392" s="3" t="s">
        <v>53</v>
      </c>
      <c r="N392" s="3" t="s">
        <v>49</v>
      </c>
      <c r="O392" s="3" t="s">
        <v>18</v>
      </c>
    </row>
    <row r="393" spans="1:15" x14ac:dyDescent="0.25">
      <c r="A393" s="3">
        <v>26150</v>
      </c>
      <c r="B393" s="3" t="s">
        <v>37</v>
      </c>
      <c r="C393" s="3" t="s">
        <v>39</v>
      </c>
      <c r="D393" s="4">
        <v>70000</v>
      </c>
      <c r="E393" s="3">
        <v>0</v>
      </c>
      <c r="F393" s="3" t="s">
        <v>13</v>
      </c>
      <c r="G393" s="3" t="s">
        <v>21</v>
      </c>
      <c r="H393" s="3" t="s">
        <v>18</v>
      </c>
      <c r="I393" s="3">
        <v>1</v>
      </c>
      <c r="J393" s="3" t="s">
        <v>16</v>
      </c>
      <c r="K393" s="3" t="s">
        <v>24</v>
      </c>
      <c r="L393" s="3">
        <v>41</v>
      </c>
      <c r="M393" s="3" t="s">
        <v>53</v>
      </c>
      <c r="N393" s="3" t="s">
        <v>49</v>
      </c>
      <c r="O393" s="3" t="s">
        <v>15</v>
      </c>
    </row>
    <row r="394" spans="1:15" x14ac:dyDescent="0.25">
      <c r="A394" s="3">
        <v>24151</v>
      </c>
      <c r="B394" s="3" t="s">
        <v>37</v>
      </c>
      <c r="C394" s="3" t="s">
        <v>38</v>
      </c>
      <c r="D394" s="4">
        <v>20000</v>
      </c>
      <c r="E394" s="3">
        <v>1</v>
      </c>
      <c r="F394" s="3" t="s">
        <v>13</v>
      </c>
      <c r="G394" s="3" t="s">
        <v>20</v>
      </c>
      <c r="H394" s="3" t="s">
        <v>18</v>
      </c>
      <c r="I394" s="3">
        <v>0</v>
      </c>
      <c r="J394" s="3" t="s">
        <v>16</v>
      </c>
      <c r="K394" s="3" t="s">
        <v>17</v>
      </c>
      <c r="L394" s="3">
        <v>51</v>
      </c>
      <c r="M394" s="3" t="s">
        <v>51</v>
      </c>
      <c r="N394" s="3" t="s">
        <v>48</v>
      </c>
      <c r="O394" s="3" t="s">
        <v>18</v>
      </c>
    </row>
    <row r="395" spans="1:15" x14ac:dyDescent="0.25">
      <c r="A395" s="3">
        <v>23962</v>
      </c>
      <c r="B395" s="3" t="s">
        <v>36</v>
      </c>
      <c r="C395" s="3" t="s">
        <v>39</v>
      </c>
      <c r="D395" s="4">
        <v>10000</v>
      </c>
      <c r="E395" s="3">
        <v>0</v>
      </c>
      <c r="F395" s="3" t="s">
        <v>29</v>
      </c>
      <c r="G395" s="3" t="s">
        <v>25</v>
      </c>
      <c r="H395" s="3" t="s">
        <v>15</v>
      </c>
      <c r="I395" s="3">
        <v>2</v>
      </c>
      <c r="J395" s="3" t="s">
        <v>26</v>
      </c>
      <c r="K395" s="3" t="s">
        <v>17</v>
      </c>
      <c r="L395" s="3">
        <v>32</v>
      </c>
      <c r="M395" s="3" t="s">
        <v>53</v>
      </c>
      <c r="N395" s="3" t="s">
        <v>49</v>
      </c>
      <c r="O395" s="3" t="s">
        <v>18</v>
      </c>
    </row>
    <row r="396" spans="1:15" x14ac:dyDescent="0.25">
      <c r="A396" s="3">
        <v>17793</v>
      </c>
      <c r="B396" s="3" t="s">
        <v>36</v>
      </c>
      <c r="C396" s="3" t="s">
        <v>39</v>
      </c>
      <c r="D396" s="4">
        <v>40000</v>
      </c>
      <c r="E396" s="3">
        <v>0</v>
      </c>
      <c r="F396" s="3" t="s">
        <v>13</v>
      </c>
      <c r="G396" s="3" t="s">
        <v>20</v>
      </c>
      <c r="H396" s="3" t="s">
        <v>15</v>
      </c>
      <c r="I396" s="3">
        <v>0</v>
      </c>
      <c r="J396" s="3" t="s">
        <v>16</v>
      </c>
      <c r="K396" s="3" t="s">
        <v>17</v>
      </c>
      <c r="L396" s="3">
        <v>38</v>
      </c>
      <c r="M396" s="3" t="s">
        <v>53</v>
      </c>
      <c r="N396" s="3" t="s">
        <v>49</v>
      </c>
      <c r="O396" s="3" t="s">
        <v>15</v>
      </c>
    </row>
    <row r="397" spans="1:15" x14ac:dyDescent="0.25">
      <c r="A397" s="3">
        <v>14926</v>
      </c>
      <c r="B397" s="3" t="s">
        <v>36</v>
      </c>
      <c r="C397" s="3" t="s">
        <v>38</v>
      </c>
      <c r="D397" s="4">
        <v>30000</v>
      </c>
      <c r="E397" s="3">
        <v>1</v>
      </c>
      <c r="F397" s="3" t="s">
        <v>13</v>
      </c>
      <c r="G397" s="3" t="s">
        <v>20</v>
      </c>
      <c r="H397" s="3" t="s">
        <v>15</v>
      </c>
      <c r="I397" s="3">
        <v>0</v>
      </c>
      <c r="J397" s="3" t="s">
        <v>16</v>
      </c>
      <c r="K397" s="3" t="s">
        <v>17</v>
      </c>
      <c r="L397" s="3">
        <v>38</v>
      </c>
      <c r="M397" s="3" t="s">
        <v>53</v>
      </c>
      <c r="N397" s="3" t="s">
        <v>49</v>
      </c>
      <c r="O397" s="3" t="s">
        <v>15</v>
      </c>
    </row>
    <row r="398" spans="1:15" x14ac:dyDescent="0.25">
      <c r="A398" s="3">
        <v>16163</v>
      </c>
      <c r="B398" s="3" t="s">
        <v>37</v>
      </c>
      <c r="C398" s="3" t="s">
        <v>38</v>
      </c>
      <c r="D398" s="4">
        <v>60000</v>
      </c>
      <c r="E398" s="3">
        <v>2</v>
      </c>
      <c r="F398" s="3" t="s">
        <v>13</v>
      </c>
      <c r="G398" s="3" t="s">
        <v>21</v>
      </c>
      <c r="H398" s="3" t="s">
        <v>15</v>
      </c>
      <c r="I398" s="3">
        <v>1</v>
      </c>
      <c r="J398" s="3" t="s">
        <v>22</v>
      </c>
      <c r="K398" s="3" t="s">
        <v>24</v>
      </c>
      <c r="L398" s="3">
        <v>38</v>
      </c>
      <c r="M398" s="3" t="s">
        <v>53</v>
      </c>
      <c r="N398" s="3" t="s">
        <v>49</v>
      </c>
      <c r="O398" s="3" t="s">
        <v>15</v>
      </c>
    </row>
    <row r="399" spans="1:15" x14ac:dyDescent="0.25">
      <c r="A399" s="3">
        <v>21365</v>
      </c>
      <c r="B399" s="3" t="s">
        <v>36</v>
      </c>
      <c r="C399" s="3" t="s">
        <v>39</v>
      </c>
      <c r="D399" s="4">
        <v>10000</v>
      </c>
      <c r="E399" s="3">
        <v>2</v>
      </c>
      <c r="F399" s="3" t="s">
        <v>29</v>
      </c>
      <c r="G399" s="3" t="s">
        <v>20</v>
      </c>
      <c r="H399" s="3" t="s">
        <v>15</v>
      </c>
      <c r="I399" s="3">
        <v>2</v>
      </c>
      <c r="J399" s="3" t="s">
        <v>23</v>
      </c>
      <c r="K399" s="3" t="s">
        <v>24</v>
      </c>
      <c r="L399" s="3">
        <v>58</v>
      </c>
      <c r="M399" s="3" t="s">
        <v>54</v>
      </c>
      <c r="N399" s="3" t="s">
        <v>50</v>
      </c>
      <c r="O399" s="3" t="s">
        <v>18</v>
      </c>
    </row>
    <row r="400" spans="1:15" x14ac:dyDescent="0.25">
      <c r="A400" s="3">
        <v>27771</v>
      </c>
      <c r="B400" s="3" t="s">
        <v>37</v>
      </c>
      <c r="C400" s="3" t="s">
        <v>38</v>
      </c>
      <c r="D400" s="4">
        <v>30000</v>
      </c>
      <c r="E400" s="3">
        <v>1</v>
      </c>
      <c r="F400" s="3" t="s">
        <v>13</v>
      </c>
      <c r="G400" s="3" t="s">
        <v>20</v>
      </c>
      <c r="H400" s="3" t="s">
        <v>15</v>
      </c>
      <c r="I400" s="3">
        <v>1</v>
      </c>
      <c r="J400" s="3" t="s">
        <v>26</v>
      </c>
      <c r="K400" s="3" t="s">
        <v>17</v>
      </c>
      <c r="L400" s="3">
        <v>39</v>
      </c>
      <c r="M400" s="3" t="s">
        <v>53</v>
      </c>
      <c r="N400" s="3" t="s">
        <v>49</v>
      </c>
      <c r="O400" s="3" t="s">
        <v>15</v>
      </c>
    </row>
    <row r="401" spans="1:15" x14ac:dyDescent="0.25">
      <c r="A401" s="3">
        <v>26167</v>
      </c>
      <c r="B401" s="3" t="s">
        <v>37</v>
      </c>
      <c r="C401" s="3" t="s">
        <v>39</v>
      </c>
      <c r="D401" s="4">
        <v>40000</v>
      </c>
      <c r="E401" s="3">
        <v>2</v>
      </c>
      <c r="F401" s="3" t="s">
        <v>13</v>
      </c>
      <c r="G401" s="3" t="s">
        <v>28</v>
      </c>
      <c r="H401" s="3" t="s">
        <v>18</v>
      </c>
      <c r="I401" s="3">
        <v>1</v>
      </c>
      <c r="J401" s="3" t="s">
        <v>23</v>
      </c>
      <c r="K401" s="3" t="s">
        <v>24</v>
      </c>
      <c r="L401" s="3">
        <v>53</v>
      </c>
      <c r="M401" s="3" t="s">
        <v>51</v>
      </c>
      <c r="N401" s="3" t="s">
        <v>48</v>
      </c>
      <c r="O401" s="3" t="s">
        <v>15</v>
      </c>
    </row>
    <row r="402" spans="1:15" x14ac:dyDescent="0.25">
      <c r="A402" s="3">
        <v>25792</v>
      </c>
      <c r="B402" s="3" t="s">
        <v>37</v>
      </c>
      <c r="C402" s="3" t="s">
        <v>39</v>
      </c>
      <c r="D402" s="4">
        <v>110000</v>
      </c>
      <c r="E402" s="3">
        <v>3</v>
      </c>
      <c r="F402" s="3" t="s">
        <v>13</v>
      </c>
      <c r="G402" s="3" t="s">
        <v>28</v>
      </c>
      <c r="H402" s="3" t="s">
        <v>15</v>
      </c>
      <c r="I402" s="3">
        <v>4</v>
      </c>
      <c r="J402" s="3" t="s">
        <v>46</v>
      </c>
      <c r="K402" s="3" t="s">
        <v>17</v>
      </c>
      <c r="L402" s="3">
        <v>53</v>
      </c>
      <c r="M402" s="3" t="s">
        <v>51</v>
      </c>
      <c r="N402" s="3" t="s">
        <v>48</v>
      </c>
      <c r="O402" s="3" t="s">
        <v>18</v>
      </c>
    </row>
    <row r="403" spans="1:15" x14ac:dyDescent="0.25">
      <c r="A403" s="3">
        <v>11555</v>
      </c>
      <c r="B403" s="3" t="s">
        <v>36</v>
      </c>
      <c r="C403" s="3" t="s">
        <v>39</v>
      </c>
      <c r="D403" s="4">
        <v>40000</v>
      </c>
      <c r="E403" s="3">
        <v>1</v>
      </c>
      <c r="F403" s="3" t="s">
        <v>13</v>
      </c>
      <c r="G403" s="3" t="s">
        <v>20</v>
      </c>
      <c r="H403" s="3" t="s">
        <v>15</v>
      </c>
      <c r="I403" s="3">
        <v>0</v>
      </c>
      <c r="J403" s="3" t="s">
        <v>16</v>
      </c>
      <c r="K403" s="3" t="s">
        <v>17</v>
      </c>
      <c r="L403" s="3">
        <v>80</v>
      </c>
      <c r="M403" s="3" t="s">
        <v>54</v>
      </c>
      <c r="N403" s="3" t="s">
        <v>50</v>
      </c>
      <c r="O403" s="3" t="s">
        <v>18</v>
      </c>
    </row>
    <row r="404" spans="1:15" x14ac:dyDescent="0.25">
      <c r="A404" s="3">
        <v>22381</v>
      </c>
      <c r="B404" s="3" t="s">
        <v>36</v>
      </c>
      <c r="C404" s="3" t="s">
        <v>38</v>
      </c>
      <c r="D404" s="4">
        <v>10000</v>
      </c>
      <c r="E404" s="3">
        <v>1</v>
      </c>
      <c r="F404" s="3" t="s">
        <v>31</v>
      </c>
      <c r="G404" s="3" t="s">
        <v>25</v>
      </c>
      <c r="H404" s="3" t="s">
        <v>15</v>
      </c>
      <c r="I404" s="3">
        <v>0</v>
      </c>
      <c r="J404" s="3" t="s">
        <v>16</v>
      </c>
      <c r="K404" s="3" t="s">
        <v>17</v>
      </c>
      <c r="L404" s="3">
        <v>44</v>
      </c>
      <c r="M404" s="3" t="s">
        <v>53</v>
      </c>
      <c r="N404" s="3" t="s">
        <v>49</v>
      </c>
      <c r="O404" s="3" t="s">
        <v>18</v>
      </c>
    </row>
    <row r="405" spans="1:15" x14ac:dyDescent="0.25">
      <c r="A405" s="3">
        <v>17882</v>
      </c>
      <c r="B405" s="3" t="s">
        <v>36</v>
      </c>
      <c r="C405" s="3" t="s">
        <v>38</v>
      </c>
      <c r="D405" s="4">
        <v>20000</v>
      </c>
      <c r="E405" s="3">
        <v>1</v>
      </c>
      <c r="F405" s="3" t="s">
        <v>31</v>
      </c>
      <c r="G405" s="3" t="s">
        <v>20</v>
      </c>
      <c r="H405" s="3" t="s">
        <v>15</v>
      </c>
      <c r="I405" s="3">
        <v>0</v>
      </c>
      <c r="J405" s="3" t="s">
        <v>16</v>
      </c>
      <c r="K405" s="3" t="s">
        <v>17</v>
      </c>
      <c r="L405" s="3">
        <v>44</v>
      </c>
      <c r="M405" s="3" t="s">
        <v>53</v>
      </c>
      <c r="N405" s="3" t="s">
        <v>49</v>
      </c>
      <c r="O405" s="3" t="s">
        <v>18</v>
      </c>
    </row>
    <row r="406" spans="1:15" x14ac:dyDescent="0.25">
      <c r="A406" s="3">
        <v>22174</v>
      </c>
      <c r="B406" s="3" t="s">
        <v>36</v>
      </c>
      <c r="C406" s="3" t="s">
        <v>38</v>
      </c>
      <c r="D406" s="4">
        <v>30000</v>
      </c>
      <c r="E406" s="3">
        <v>3</v>
      </c>
      <c r="F406" s="3" t="s">
        <v>27</v>
      </c>
      <c r="G406" s="3" t="s">
        <v>14</v>
      </c>
      <c r="H406" s="3" t="s">
        <v>15</v>
      </c>
      <c r="I406" s="3">
        <v>2</v>
      </c>
      <c r="J406" s="3" t="s">
        <v>23</v>
      </c>
      <c r="K406" s="3" t="s">
        <v>24</v>
      </c>
      <c r="L406" s="3">
        <v>54</v>
      </c>
      <c r="M406" s="3" t="s">
        <v>51</v>
      </c>
      <c r="N406" s="3" t="s">
        <v>48</v>
      </c>
      <c r="O406" s="3" t="s">
        <v>15</v>
      </c>
    </row>
    <row r="407" spans="1:15" x14ac:dyDescent="0.25">
      <c r="A407" s="3">
        <v>22439</v>
      </c>
      <c r="B407" s="3" t="s">
        <v>36</v>
      </c>
      <c r="C407" s="3" t="s">
        <v>39</v>
      </c>
      <c r="D407" s="4">
        <v>30000</v>
      </c>
      <c r="E407" s="3">
        <v>0</v>
      </c>
      <c r="F407" s="3" t="s">
        <v>13</v>
      </c>
      <c r="G407" s="3" t="s">
        <v>20</v>
      </c>
      <c r="H407" s="3" t="s">
        <v>15</v>
      </c>
      <c r="I407" s="3">
        <v>0</v>
      </c>
      <c r="J407" s="3" t="s">
        <v>16</v>
      </c>
      <c r="K407" s="3" t="s">
        <v>17</v>
      </c>
      <c r="L407" s="3">
        <v>37</v>
      </c>
      <c r="M407" s="3" t="s">
        <v>53</v>
      </c>
      <c r="N407" s="3" t="s">
        <v>49</v>
      </c>
      <c r="O407" s="3" t="s">
        <v>15</v>
      </c>
    </row>
    <row r="408" spans="1:15" x14ac:dyDescent="0.25">
      <c r="A408" s="3">
        <v>18012</v>
      </c>
      <c r="B408" s="3" t="s">
        <v>36</v>
      </c>
      <c r="C408" s="3" t="s">
        <v>39</v>
      </c>
      <c r="D408" s="4">
        <v>40000</v>
      </c>
      <c r="E408" s="3">
        <v>1</v>
      </c>
      <c r="F408" s="3" t="s">
        <v>13</v>
      </c>
      <c r="G408" s="3" t="s">
        <v>14</v>
      </c>
      <c r="H408" s="3" t="s">
        <v>15</v>
      </c>
      <c r="I408" s="3">
        <v>0</v>
      </c>
      <c r="J408" s="3" t="s">
        <v>16</v>
      </c>
      <c r="K408" s="3" t="s">
        <v>17</v>
      </c>
      <c r="L408" s="3">
        <v>41</v>
      </c>
      <c r="M408" s="3" t="s">
        <v>53</v>
      </c>
      <c r="N408" s="3" t="s">
        <v>49</v>
      </c>
      <c r="O408" s="3" t="s">
        <v>18</v>
      </c>
    </row>
    <row r="409" spans="1:15" x14ac:dyDescent="0.25">
      <c r="A409" s="3">
        <v>27582</v>
      </c>
      <c r="B409" s="3" t="s">
        <v>37</v>
      </c>
      <c r="C409" s="3" t="s">
        <v>39</v>
      </c>
      <c r="D409" s="4">
        <v>90000</v>
      </c>
      <c r="E409" s="3">
        <v>2</v>
      </c>
      <c r="F409" s="3" t="s">
        <v>13</v>
      </c>
      <c r="G409" s="3" t="s">
        <v>21</v>
      </c>
      <c r="H409" s="3" t="s">
        <v>18</v>
      </c>
      <c r="I409" s="3">
        <v>0</v>
      </c>
      <c r="J409" s="3" t="s">
        <v>16</v>
      </c>
      <c r="K409" s="3" t="s">
        <v>24</v>
      </c>
      <c r="L409" s="3">
        <v>36</v>
      </c>
      <c r="M409" s="3" t="s">
        <v>53</v>
      </c>
      <c r="N409" s="3" t="s">
        <v>49</v>
      </c>
      <c r="O409" s="3" t="s">
        <v>15</v>
      </c>
    </row>
    <row r="410" spans="1:15" x14ac:dyDescent="0.25">
      <c r="A410" s="3">
        <v>12744</v>
      </c>
      <c r="B410" s="3" t="s">
        <v>37</v>
      </c>
      <c r="C410" s="3" t="s">
        <v>39</v>
      </c>
      <c r="D410" s="4">
        <v>40000</v>
      </c>
      <c r="E410" s="3">
        <v>2</v>
      </c>
      <c r="F410" s="3" t="s">
        <v>19</v>
      </c>
      <c r="G410" s="3" t="s">
        <v>20</v>
      </c>
      <c r="H410" s="3" t="s">
        <v>15</v>
      </c>
      <c r="I410" s="3">
        <v>0</v>
      </c>
      <c r="J410" s="3" t="s">
        <v>16</v>
      </c>
      <c r="K410" s="3" t="s">
        <v>17</v>
      </c>
      <c r="L410" s="3">
        <v>33</v>
      </c>
      <c r="M410" s="3" t="s">
        <v>53</v>
      </c>
      <c r="N410" s="3" t="s">
        <v>49</v>
      </c>
      <c r="O410" s="3" t="s">
        <v>18</v>
      </c>
    </row>
    <row r="411" spans="1:15" x14ac:dyDescent="0.25">
      <c r="A411" s="3">
        <v>22821</v>
      </c>
      <c r="B411" s="3" t="s">
        <v>36</v>
      </c>
      <c r="C411" s="3" t="s">
        <v>39</v>
      </c>
      <c r="D411" s="4">
        <v>130000</v>
      </c>
      <c r="E411" s="3">
        <v>3</v>
      </c>
      <c r="F411" s="3" t="s">
        <v>19</v>
      </c>
      <c r="G411" s="3" t="s">
        <v>21</v>
      </c>
      <c r="H411" s="3" t="s">
        <v>15</v>
      </c>
      <c r="I411" s="3">
        <v>4</v>
      </c>
      <c r="J411" s="3" t="s">
        <v>16</v>
      </c>
      <c r="K411" s="3" t="s">
        <v>17</v>
      </c>
      <c r="L411" s="3">
        <v>52</v>
      </c>
      <c r="M411" s="3" t="s">
        <v>51</v>
      </c>
      <c r="N411" s="3" t="s">
        <v>48</v>
      </c>
      <c r="O411" s="3" t="s">
        <v>18</v>
      </c>
    </row>
    <row r="412" spans="1:15" x14ac:dyDescent="0.25">
      <c r="A412" s="3">
        <v>20171</v>
      </c>
      <c r="B412" s="3" t="s">
        <v>36</v>
      </c>
      <c r="C412" s="3" t="s">
        <v>39</v>
      </c>
      <c r="D412" s="4">
        <v>20000</v>
      </c>
      <c r="E412" s="3">
        <v>2</v>
      </c>
      <c r="F412" s="3" t="s">
        <v>19</v>
      </c>
      <c r="G412" s="3" t="s">
        <v>25</v>
      </c>
      <c r="H412" s="3" t="s">
        <v>15</v>
      </c>
      <c r="I412" s="3">
        <v>1</v>
      </c>
      <c r="J412" s="3" t="s">
        <v>16</v>
      </c>
      <c r="K412" s="3" t="s">
        <v>17</v>
      </c>
      <c r="L412" s="3">
        <v>46</v>
      </c>
      <c r="M412" s="3" t="s">
        <v>51</v>
      </c>
      <c r="N412" s="3" t="s">
        <v>48</v>
      </c>
      <c r="O412" s="3" t="s">
        <v>15</v>
      </c>
    </row>
    <row r="413" spans="1:15" x14ac:dyDescent="0.25">
      <c r="A413" s="3">
        <v>11116</v>
      </c>
      <c r="B413" s="3" t="s">
        <v>36</v>
      </c>
      <c r="C413" s="3" t="s">
        <v>38</v>
      </c>
      <c r="D413" s="4">
        <v>70000</v>
      </c>
      <c r="E413" s="3">
        <v>5</v>
      </c>
      <c r="F413" s="3" t="s">
        <v>19</v>
      </c>
      <c r="G413" s="3" t="s">
        <v>14</v>
      </c>
      <c r="H413" s="3" t="s">
        <v>15</v>
      </c>
      <c r="I413" s="3">
        <v>2</v>
      </c>
      <c r="J413" s="3" t="s">
        <v>23</v>
      </c>
      <c r="K413" s="3" t="s">
        <v>24</v>
      </c>
      <c r="L413" s="3">
        <v>43</v>
      </c>
      <c r="M413" s="3" t="s">
        <v>53</v>
      </c>
      <c r="N413" s="3" t="s">
        <v>49</v>
      </c>
      <c r="O413" s="3" t="s">
        <v>18</v>
      </c>
    </row>
    <row r="414" spans="1:15" x14ac:dyDescent="0.25">
      <c r="A414" s="3">
        <v>20053</v>
      </c>
      <c r="B414" s="3" t="s">
        <v>37</v>
      </c>
      <c r="C414" s="3" t="s">
        <v>38</v>
      </c>
      <c r="D414" s="4">
        <v>40000</v>
      </c>
      <c r="E414" s="3">
        <v>2</v>
      </c>
      <c r="F414" s="3" t="s">
        <v>19</v>
      </c>
      <c r="G414" s="3" t="s">
        <v>20</v>
      </c>
      <c r="H414" s="3" t="s">
        <v>15</v>
      </c>
      <c r="I414" s="3">
        <v>0</v>
      </c>
      <c r="J414" s="3" t="s">
        <v>16</v>
      </c>
      <c r="K414" s="3" t="s">
        <v>17</v>
      </c>
      <c r="L414" s="3">
        <v>34</v>
      </c>
      <c r="M414" s="3" t="s">
        <v>53</v>
      </c>
      <c r="N414" s="3" t="s">
        <v>49</v>
      </c>
      <c r="O414" s="3" t="s">
        <v>18</v>
      </c>
    </row>
    <row r="415" spans="1:15" x14ac:dyDescent="0.25">
      <c r="A415" s="3">
        <v>25266</v>
      </c>
      <c r="B415" s="3" t="s">
        <v>37</v>
      </c>
      <c r="C415" s="3" t="s">
        <v>39</v>
      </c>
      <c r="D415" s="4">
        <v>30000</v>
      </c>
      <c r="E415" s="3">
        <v>2</v>
      </c>
      <c r="F415" s="3" t="s">
        <v>19</v>
      </c>
      <c r="G415" s="3" t="s">
        <v>20</v>
      </c>
      <c r="H415" s="3" t="s">
        <v>18</v>
      </c>
      <c r="I415" s="3">
        <v>2</v>
      </c>
      <c r="J415" s="3" t="s">
        <v>23</v>
      </c>
      <c r="K415" s="3" t="s">
        <v>24</v>
      </c>
      <c r="L415" s="3">
        <v>67</v>
      </c>
      <c r="M415" s="3" t="s">
        <v>54</v>
      </c>
      <c r="N415" s="3" t="s">
        <v>50</v>
      </c>
      <c r="O415" s="3" t="s">
        <v>18</v>
      </c>
    </row>
    <row r="416" spans="1:15" x14ac:dyDescent="0.25">
      <c r="A416" s="3">
        <v>17960</v>
      </c>
      <c r="B416" s="3" t="s">
        <v>36</v>
      </c>
      <c r="C416" s="3" t="s">
        <v>39</v>
      </c>
      <c r="D416" s="4">
        <v>40000</v>
      </c>
      <c r="E416" s="3">
        <v>0</v>
      </c>
      <c r="F416" s="3" t="s">
        <v>31</v>
      </c>
      <c r="G416" s="3" t="s">
        <v>20</v>
      </c>
      <c r="H416" s="3" t="s">
        <v>15</v>
      </c>
      <c r="I416" s="3">
        <v>0</v>
      </c>
      <c r="J416" s="3" t="s">
        <v>16</v>
      </c>
      <c r="K416" s="3" t="s">
        <v>17</v>
      </c>
      <c r="L416" s="3">
        <v>35</v>
      </c>
      <c r="M416" s="3" t="s">
        <v>53</v>
      </c>
      <c r="N416" s="3" t="s">
        <v>49</v>
      </c>
      <c r="O416" s="3" t="s">
        <v>15</v>
      </c>
    </row>
    <row r="417" spans="1:15" x14ac:dyDescent="0.25">
      <c r="A417" s="3">
        <v>13961</v>
      </c>
      <c r="B417" s="3" t="s">
        <v>36</v>
      </c>
      <c r="C417" s="3" t="s">
        <v>39</v>
      </c>
      <c r="D417" s="4">
        <v>80000</v>
      </c>
      <c r="E417" s="3">
        <v>5</v>
      </c>
      <c r="F417" s="3" t="s">
        <v>31</v>
      </c>
      <c r="G417" s="3" t="s">
        <v>28</v>
      </c>
      <c r="H417" s="3" t="s">
        <v>15</v>
      </c>
      <c r="I417" s="3">
        <v>3</v>
      </c>
      <c r="J417" s="3" t="s">
        <v>16</v>
      </c>
      <c r="K417" s="3" t="s">
        <v>24</v>
      </c>
      <c r="L417" s="3">
        <v>40</v>
      </c>
      <c r="M417" s="3" t="s">
        <v>53</v>
      </c>
      <c r="N417" s="3" t="s">
        <v>49</v>
      </c>
      <c r="O417" s="3" t="s">
        <v>18</v>
      </c>
    </row>
    <row r="418" spans="1:15" x14ac:dyDescent="0.25">
      <c r="A418" s="3">
        <v>11897</v>
      </c>
      <c r="B418" s="3" t="s">
        <v>37</v>
      </c>
      <c r="C418" s="3" t="s">
        <v>38</v>
      </c>
      <c r="D418" s="4">
        <v>60000</v>
      </c>
      <c r="E418" s="3">
        <v>2</v>
      </c>
      <c r="F418" s="3" t="s">
        <v>13</v>
      </c>
      <c r="G418" s="3" t="s">
        <v>21</v>
      </c>
      <c r="H418" s="3" t="s">
        <v>18</v>
      </c>
      <c r="I418" s="3">
        <v>1</v>
      </c>
      <c r="J418" s="3" t="s">
        <v>16</v>
      </c>
      <c r="K418" s="3" t="s">
        <v>24</v>
      </c>
      <c r="L418" s="3">
        <v>37</v>
      </c>
      <c r="M418" s="3" t="s">
        <v>53</v>
      </c>
      <c r="N418" s="3" t="s">
        <v>49</v>
      </c>
      <c r="O418" s="3" t="s">
        <v>15</v>
      </c>
    </row>
    <row r="419" spans="1:15" x14ac:dyDescent="0.25">
      <c r="A419" s="3">
        <v>11139</v>
      </c>
      <c r="B419" s="3" t="s">
        <v>37</v>
      </c>
      <c r="C419" s="3" t="s">
        <v>39</v>
      </c>
      <c r="D419" s="4">
        <v>30000</v>
      </c>
      <c r="E419" s="3">
        <v>2</v>
      </c>
      <c r="F419" s="3" t="s">
        <v>19</v>
      </c>
      <c r="G419" s="3" t="s">
        <v>20</v>
      </c>
      <c r="H419" s="3" t="s">
        <v>18</v>
      </c>
      <c r="I419" s="3">
        <v>2</v>
      </c>
      <c r="J419" s="3" t="s">
        <v>23</v>
      </c>
      <c r="K419" s="3" t="s">
        <v>24</v>
      </c>
      <c r="L419" s="3">
        <v>67</v>
      </c>
      <c r="M419" s="3" t="s">
        <v>54</v>
      </c>
      <c r="N419" s="3" t="s">
        <v>50</v>
      </c>
      <c r="O419" s="3" t="s">
        <v>18</v>
      </c>
    </row>
    <row r="420" spans="1:15" x14ac:dyDescent="0.25">
      <c r="A420" s="3">
        <v>11576</v>
      </c>
      <c r="B420" s="3" t="s">
        <v>36</v>
      </c>
      <c r="C420" s="3" t="s">
        <v>38</v>
      </c>
      <c r="D420" s="4">
        <v>30000</v>
      </c>
      <c r="E420" s="3">
        <v>1</v>
      </c>
      <c r="F420" s="3" t="s">
        <v>13</v>
      </c>
      <c r="G420" s="3" t="s">
        <v>14</v>
      </c>
      <c r="H420" s="3" t="s">
        <v>15</v>
      </c>
      <c r="I420" s="3">
        <v>2</v>
      </c>
      <c r="J420" s="3" t="s">
        <v>16</v>
      </c>
      <c r="K420" s="3" t="s">
        <v>17</v>
      </c>
      <c r="L420" s="3">
        <v>41</v>
      </c>
      <c r="M420" s="3" t="s">
        <v>53</v>
      </c>
      <c r="N420" s="3" t="s">
        <v>49</v>
      </c>
      <c r="O420" s="3" t="s">
        <v>15</v>
      </c>
    </row>
    <row r="421" spans="1:15" x14ac:dyDescent="0.25">
      <c r="A421" s="3">
        <v>19255</v>
      </c>
      <c r="B421" s="3" t="s">
        <v>37</v>
      </c>
      <c r="C421" s="3" t="s">
        <v>38</v>
      </c>
      <c r="D421" s="4">
        <v>10000</v>
      </c>
      <c r="E421" s="3">
        <v>2</v>
      </c>
      <c r="F421" s="3" t="s">
        <v>19</v>
      </c>
      <c r="G421" s="3" t="s">
        <v>25</v>
      </c>
      <c r="H421" s="3" t="s">
        <v>15</v>
      </c>
      <c r="I421" s="3">
        <v>1</v>
      </c>
      <c r="J421" s="3" t="s">
        <v>16</v>
      </c>
      <c r="K421" s="3" t="s">
        <v>17</v>
      </c>
      <c r="L421" s="3">
        <v>51</v>
      </c>
      <c r="M421" s="3" t="s">
        <v>51</v>
      </c>
      <c r="N421" s="3" t="s">
        <v>48</v>
      </c>
      <c r="O421" s="3" t="s">
        <v>15</v>
      </c>
    </row>
    <row r="422" spans="1:15" x14ac:dyDescent="0.25">
      <c r="A422" s="3">
        <v>18153</v>
      </c>
      <c r="B422" s="3" t="s">
        <v>36</v>
      </c>
      <c r="C422" s="3" t="s">
        <v>39</v>
      </c>
      <c r="D422" s="4">
        <v>100000</v>
      </c>
      <c r="E422" s="3">
        <v>2</v>
      </c>
      <c r="F422" s="3" t="s">
        <v>13</v>
      </c>
      <c r="G422" s="3" t="s">
        <v>28</v>
      </c>
      <c r="H422" s="3" t="s">
        <v>15</v>
      </c>
      <c r="I422" s="3">
        <v>4</v>
      </c>
      <c r="J422" s="3" t="s">
        <v>46</v>
      </c>
      <c r="K422" s="3" t="s">
        <v>17</v>
      </c>
      <c r="L422" s="3">
        <v>59</v>
      </c>
      <c r="M422" s="3" t="s">
        <v>54</v>
      </c>
      <c r="N422" s="3" t="s">
        <v>50</v>
      </c>
      <c r="O422" s="3" t="s">
        <v>18</v>
      </c>
    </row>
    <row r="423" spans="1:15" x14ac:dyDescent="0.25">
      <c r="A423" s="3">
        <v>14547</v>
      </c>
      <c r="B423" s="3" t="s">
        <v>36</v>
      </c>
      <c r="C423" s="3" t="s">
        <v>38</v>
      </c>
      <c r="D423" s="4">
        <v>10000</v>
      </c>
      <c r="E423" s="3">
        <v>2</v>
      </c>
      <c r="F423" s="3" t="s">
        <v>19</v>
      </c>
      <c r="G423" s="3" t="s">
        <v>25</v>
      </c>
      <c r="H423" s="3" t="s">
        <v>15</v>
      </c>
      <c r="I423" s="3">
        <v>0</v>
      </c>
      <c r="J423" s="3" t="s">
        <v>26</v>
      </c>
      <c r="K423" s="3" t="s">
        <v>17</v>
      </c>
      <c r="L423" s="3">
        <v>51</v>
      </c>
      <c r="M423" s="3" t="s">
        <v>51</v>
      </c>
      <c r="N423" s="3" t="s">
        <v>48</v>
      </c>
      <c r="O423" s="3" t="s">
        <v>18</v>
      </c>
    </row>
    <row r="424" spans="1:15" x14ac:dyDescent="0.25">
      <c r="A424" s="3">
        <v>24901</v>
      </c>
      <c r="B424" s="3" t="s">
        <v>37</v>
      </c>
      <c r="C424" s="3" t="s">
        <v>38</v>
      </c>
      <c r="D424" s="4">
        <v>110000</v>
      </c>
      <c r="E424" s="3">
        <v>0</v>
      </c>
      <c r="F424" s="3" t="s">
        <v>19</v>
      </c>
      <c r="G424" s="3" t="s">
        <v>28</v>
      </c>
      <c r="H424" s="3" t="s">
        <v>18</v>
      </c>
      <c r="I424" s="3">
        <v>3</v>
      </c>
      <c r="J424" s="3" t="s">
        <v>46</v>
      </c>
      <c r="K424" s="3" t="s">
        <v>24</v>
      </c>
      <c r="L424" s="3">
        <v>32</v>
      </c>
      <c r="M424" s="3" t="s">
        <v>53</v>
      </c>
      <c r="N424" s="3" t="s">
        <v>49</v>
      </c>
      <c r="O424" s="3" t="s">
        <v>15</v>
      </c>
    </row>
    <row r="425" spans="1:15" x14ac:dyDescent="0.25">
      <c r="A425" s="3">
        <v>27169</v>
      </c>
      <c r="B425" s="3" t="s">
        <v>37</v>
      </c>
      <c r="C425" s="3" t="s">
        <v>38</v>
      </c>
      <c r="D425" s="4">
        <v>30000</v>
      </c>
      <c r="E425" s="3">
        <v>0</v>
      </c>
      <c r="F425" s="3" t="s">
        <v>27</v>
      </c>
      <c r="G425" s="3" t="s">
        <v>25</v>
      </c>
      <c r="H425" s="3" t="s">
        <v>15</v>
      </c>
      <c r="I425" s="3">
        <v>1</v>
      </c>
      <c r="J425" s="3" t="s">
        <v>22</v>
      </c>
      <c r="K425" s="3" t="s">
        <v>17</v>
      </c>
      <c r="L425" s="3">
        <v>34</v>
      </c>
      <c r="M425" s="3" t="s">
        <v>53</v>
      </c>
      <c r="N425" s="3" t="s">
        <v>49</v>
      </c>
      <c r="O425" s="3" t="s">
        <v>15</v>
      </c>
    </row>
    <row r="426" spans="1:15" x14ac:dyDescent="0.25">
      <c r="A426" s="3">
        <v>14805</v>
      </c>
      <c r="B426" s="3" t="s">
        <v>37</v>
      </c>
      <c r="C426" s="3" t="s">
        <v>39</v>
      </c>
      <c r="D426" s="4">
        <v>10000</v>
      </c>
      <c r="E426" s="3">
        <v>3</v>
      </c>
      <c r="F426" s="3" t="s">
        <v>29</v>
      </c>
      <c r="G426" s="3" t="s">
        <v>25</v>
      </c>
      <c r="H426" s="3" t="s">
        <v>15</v>
      </c>
      <c r="I426" s="3">
        <v>2</v>
      </c>
      <c r="J426" s="3" t="s">
        <v>16</v>
      </c>
      <c r="K426" s="3" t="s">
        <v>17</v>
      </c>
      <c r="L426" s="3">
        <v>43</v>
      </c>
      <c r="M426" s="3" t="s">
        <v>53</v>
      </c>
      <c r="N426" s="3" t="s">
        <v>49</v>
      </c>
      <c r="O426" s="3" t="s">
        <v>18</v>
      </c>
    </row>
    <row r="427" spans="1:15" x14ac:dyDescent="0.25">
      <c r="A427" s="3">
        <v>15822</v>
      </c>
      <c r="B427" s="3" t="s">
        <v>36</v>
      </c>
      <c r="C427" s="3" t="s">
        <v>38</v>
      </c>
      <c r="D427" s="4">
        <v>40000</v>
      </c>
      <c r="E427" s="3">
        <v>2</v>
      </c>
      <c r="F427" s="3" t="s">
        <v>13</v>
      </c>
      <c r="G427" s="3" t="s">
        <v>28</v>
      </c>
      <c r="H427" s="3" t="s">
        <v>15</v>
      </c>
      <c r="I427" s="3">
        <v>2</v>
      </c>
      <c r="J427" s="3" t="s">
        <v>16</v>
      </c>
      <c r="K427" s="3" t="s">
        <v>24</v>
      </c>
      <c r="L427" s="3">
        <v>67</v>
      </c>
      <c r="M427" s="3" t="s">
        <v>54</v>
      </c>
      <c r="N427" s="3" t="s">
        <v>50</v>
      </c>
      <c r="O427" s="3" t="s">
        <v>18</v>
      </c>
    </row>
    <row r="428" spans="1:15" x14ac:dyDescent="0.25">
      <c r="A428" s="3">
        <v>19389</v>
      </c>
      <c r="B428" s="3" t="s">
        <v>37</v>
      </c>
      <c r="C428" s="3" t="s">
        <v>38</v>
      </c>
      <c r="D428" s="4">
        <v>30000</v>
      </c>
      <c r="E428" s="3">
        <v>0</v>
      </c>
      <c r="F428" s="3" t="s">
        <v>19</v>
      </c>
      <c r="G428" s="3" t="s">
        <v>20</v>
      </c>
      <c r="H428" s="3" t="s">
        <v>18</v>
      </c>
      <c r="I428" s="3">
        <v>1</v>
      </c>
      <c r="J428" s="3" t="s">
        <v>22</v>
      </c>
      <c r="K428" s="3" t="s">
        <v>17</v>
      </c>
      <c r="L428" s="3">
        <v>28</v>
      </c>
      <c r="M428" s="3" t="s">
        <v>53</v>
      </c>
      <c r="N428" s="3" t="s">
        <v>49</v>
      </c>
      <c r="O428" s="3" t="s">
        <v>18</v>
      </c>
    </row>
    <row r="429" spans="1:15" x14ac:dyDescent="0.25">
      <c r="A429" s="3">
        <v>17048</v>
      </c>
      <c r="B429" s="3" t="s">
        <v>37</v>
      </c>
      <c r="C429" s="3" t="s">
        <v>39</v>
      </c>
      <c r="D429" s="4">
        <v>90000</v>
      </c>
      <c r="E429" s="3">
        <v>1</v>
      </c>
      <c r="F429" s="3" t="s">
        <v>31</v>
      </c>
      <c r="G429" s="3" t="s">
        <v>28</v>
      </c>
      <c r="H429" s="3" t="s">
        <v>15</v>
      </c>
      <c r="I429" s="3">
        <v>0</v>
      </c>
      <c r="J429" s="3" t="s">
        <v>16</v>
      </c>
      <c r="K429" s="3" t="s">
        <v>24</v>
      </c>
      <c r="L429" s="3">
        <v>36</v>
      </c>
      <c r="M429" s="3" t="s">
        <v>53</v>
      </c>
      <c r="N429" s="3" t="s">
        <v>49</v>
      </c>
      <c r="O429" s="3" t="s">
        <v>15</v>
      </c>
    </row>
    <row r="430" spans="1:15" x14ac:dyDescent="0.25">
      <c r="A430" s="3">
        <v>22204</v>
      </c>
      <c r="B430" s="3" t="s">
        <v>36</v>
      </c>
      <c r="C430" s="3" t="s">
        <v>38</v>
      </c>
      <c r="D430" s="4">
        <v>110000</v>
      </c>
      <c r="E430" s="3">
        <v>4</v>
      </c>
      <c r="F430" s="3" t="s">
        <v>13</v>
      </c>
      <c r="G430" s="3" t="s">
        <v>28</v>
      </c>
      <c r="H430" s="3" t="s">
        <v>15</v>
      </c>
      <c r="I430" s="3">
        <v>3</v>
      </c>
      <c r="J430" s="3" t="s">
        <v>22</v>
      </c>
      <c r="K430" s="3" t="s">
        <v>24</v>
      </c>
      <c r="L430" s="3">
        <v>48</v>
      </c>
      <c r="M430" s="3" t="s">
        <v>51</v>
      </c>
      <c r="N430" s="3" t="s">
        <v>48</v>
      </c>
      <c r="O430" s="3" t="s">
        <v>18</v>
      </c>
    </row>
    <row r="431" spans="1:15" x14ac:dyDescent="0.25">
      <c r="A431" s="3">
        <v>12718</v>
      </c>
      <c r="B431" s="3" t="s">
        <v>37</v>
      </c>
      <c r="C431" s="3" t="s">
        <v>39</v>
      </c>
      <c r="D431" s="4">
        <v>30000</v>
      </c>
      <c r="E431" s="3">
        <v>0</v>
      </c>
      <c r="F431" s="3" t="s">
        <v>19</v>
      </c>
      <c r="G431" s="3" t="s">
        <v>20</v>
      </c>
      <c r="H431" s="3" t="s">
        <v>15</v>
      </c>
      <c r="I431" s="3">
        <v>1</v>
      </c>
      <c r="J431" s="3" t="s">
        <v>22</v>
      </c>
      <c r="K431" s="3" t="s">
        <v>17</v>
      </c>
      <c r="L431" s="3">
        <v>31</v>
      </c>
      <c r="M431" s="3" t="s">
        <v>53</v>
      </c>
      <c r="N431" s="3" t="s">
        <v>49</v>
      </c>
      <c r="O431" s="3" t="s">
        <v>18</v>
      </c>
    </row>
    <row r="432" spans="1:15" x14ac:dyDescent="0.25">
      <c r="A432" s="3">
        <v>15019</v>
      </c>
      <c r="B432" s="3" t="s">
        <v>37</v>
      </c>
      <c r="C432" s="3" t="s">
        <v>39</v>
      </c>
      <c r="D432" s="4">
        <v>30000</v>
      </c>
      <c r="E432" s="3">
        <v>3</v>
      </c>
      <c r="F432" s="3" t="s">
        <v>27</v>
      </c>
      <c r="G432" s="3" t="s">
        <v>14</v>
      </c>
      <c r="H432" s="3" t="s">
        <v>15</v>
      </c>
      <c r="I432" s="3">
        <v>2</v>
      </c>
      <c r="J432" s="3" t="s">
        <v>23</v>
      </c>
      <c r="K432" s="3" t="s">
        <v>24</v>
      </c>
      <c r="L432" s="3">
        <v>55</v>
      </c>
      <c r="M432" s="3" t="s">
        <v>52</v>
      </c>
      <c r="N432" s="3" t="s">
        <v>47</v>
      </c>
      <c r="O432" s="3" t="s">
        <v>18</v>
      </c>
    </row>
    <row r="433" spans="1:15" x14ac:dyDescent="0.25">
      <c r="A433" s="3">
        <v>28488</v>
      </c>
      <c r="B433" s="3" t="s">
        <v>37</v>
      </c>
      <c r="C433" s="3" t="s">
        <v>38</v>
      </c>
      <c r="D433" s="4">
        <v>20000</v>
      </c>
      <c r="E433" s="3">
        <v>0</v>
      </c>
      <c r="F433" s="3" t="s">
        <v>19</v>
      </c>
      <c r="G433" s="3" t="s">
        <v>25</v>
      </c>
      <c r="H433" s="3" t="s">
        <v>15</v>
      </c>
      <c r="I433" s="3">
        <v>0</v>
      </c>
      <c r="J433" s="3" t="s">
        <v>16</v>
      </c>
      <c r="K433" s="3" t="s">
        <v>24</v>
      </c>
      <c r="L433" s="3">
        <v>28</v>
      </c>
      <c r="M433" s="3" t="s">
        <v>53</v>
      </c>
      <c r="N433" s="3" t="s">
        <v>49</v>
      </c>
      <c r="O433" s="3" t="s">
        <v>15</v>
      </c>
    </row>
    <row r="434" spans="1:15" x14ac:dyDescent="0.25">
      <c r="A434" s="3">
        <v>21891</v>
      </c>
      <c r="B434" s="3" t="s">
        <v>36</v>
      </c>
      <c r="C434" s="3" t="s">
        <v>39</v>
      </c>
      <c r="D434" s="4">
        <v>110000</v>
      </c>
      <c r="E434" s="3">
        <v>0</v>
      </c>
      <c r="F434" s="3" t="s">
        <v>27</v>
      </c>
      <c r="G434" s="3" t="s">
        <v>28</v>
      </c>
      <c r="H434" s="3" t="s">
        <v>15</v>
      </c>
      <c r="I434" s="3">
        <v>3</v>
      </c>
      <c r="J434" s="3" t="s">
        <v>46</v>
      </c>
      <c r="K434" s="3" t="s">
        <v>24</v>
      </c>
      <c r="L434" s="3">
        <v>34</v>
      </c>
      <c r="M434" s="3" t="s">
        <v>53</v>
      </c>
      <c r="N434" s="3" t="s">
        <v>49</v>
      </c>
      <c r="O434" s="3" t="s">
        <v>15</v>
      </c>
    </row>
    <row r="435" spans="1:15" x14ac:dyDescent="0.25">
      <c r="A435" s="3">
        <v>27814</v>
      </c>
      <c r="B435" s="3" t="s">
        <v>37</v>
      </c>
      <c r="C435" s="3" t="s">
        <v>39</v>
      </c>
      <c r="D435" s="4">
        <v>30000</v>
      </c>
      <c r="E435" s="3">
        <v>3</v>
      </c>
      <c r="F435" s="3" t="s">
        <v>19</v>
      </c>
      <c r="G435" s="3" t="s">
        <v>20</v>
      </c>
      <c r="H435" s="3" t="s">
        <v>18</v>
      </c>
      <c r="I435" s="3">
        <v>1</v>
      </c>
      <c r="J435" s="3" t="s">
        <v>16</v>
      </c>
      <c r="K435" s="3" t="s">
        <v>17</v>
      </c>
      <c r="L435" s="3">
        <v>26</v>
      </c>
      <c r="M435" s="3" t="s">
        <v>53</v>
      </c>
      <c r="N435" s="3" t="s">
        <v>49</v>
      </c>
      <c r="O435" s="3" t="s">
        <v>18</v>
      </c>
    </row>
    <row r="436" spans="1:15" x14ac:dyDescent="0.25">
      <c r="A436" s="3">
        <v>22175</v>
      </c>
      <c r="B436" s="3" t="s">
        <v>36</v>
      </c>
      <c r="C436" s="3" t="s">
        <v>39</v>
      </c>
      <c r="D436" s="4">
        <v>30000</v>
      </c>
      <c r="E436" s="3">
        <v>3</v>
      </c>
      <c r="F436" s="3" t="s">
        <v>27</v>
      </c>
      <c r="G436" s="3" t="s">
        <v>14</v>
      </c>
      <c r="H436" s="3" t="s">
        <v>15</v>
      </c>
      <c r="I436" s="3">
        <v>2</v>
      </c>
      <c r="J436" s="3" t="s">
        <v>23</v>
      </c>
      <c r="K436" s="3" t="s">
        <v>24</v>
      </c>
      <c r="L436" s="3">
        <v>53</v>
      </c>
      <c r="M436" s="3" t="s">
        <v>51</v>
      </c>
      <c r="N436" s="3" t="s">
        <v>48</v>
      </c>
      <c r="O436" s="3" t="s">
        <v>15</v>
      </c>
    </row>
    <row r="437" spans="1:15" x14ac:dyDescent="0.25">
      <c r="A437" s="3">
        <v>29447</v>
      </c>
      <c r="B437" s="3" t="s">
        <v>37</v>
      </c>
      <c r="C437" s="3" t="s">
        <v>39</v>
      </c>
      <c r="D437" s="4">
        <v>10000</v>
      </c>
      <c r="E437" s="3">
        <v>2</v>
      </c>
      <c r="F437" s="3" t="s">
        <v>13</v>
      </c>
      <c r="G437" s="3" t="s">
        <v>20</v>
      </c>
      <c r="H437" s="3" t="s">
        <v>18</v>
      </c>
      <c r="I437" s="3">
        <v>1</v>
      </c>
      <c r="J437" s="3" t="s">
        <v>22</v>
      </c>
      <c r="K437" s="3" t="s">
        <v>17</v>
      </c>
      <c r="L437" s="3">
        <v>68</v>
      </c>
      <c r="M437" s="3" t="s">
        <v>54</v>
      </c>
      <c r="N437" s="3" t="s">
        <v>50</v>
      </c>
      <c r="O437" s="3" t="s">
        <v>18</v>
      </c>
    </row>
    <row r="438" spans="1:15" x14ac:dyDescent="0.25">
      <c r="A438" s="3">
        <v>19784</v>
      </c>
      <c r="B438" s="3" t="s">
        <v>36</v>
      </c>
      <c r="C438" s="3" t="s">
        <v>39</v>
      </c>
      <c r="D438" s="4">
        <v>80000</v>
      </c>
      <c r="E438" s="3">
        <v>2</v>
      </c>
      <c r="F438" s="3" t="s">
        <v>27</v>
      </c>
      <c r="G438" s="3" t="s">
        <v>14</v>
      </c>
      <c r="H438" s="3" t="s">
        <v>15</v>
      </c>
      <c r="I438" s="3">
        <v>2</v>
      </c>
      <c r="J438" s="3" t="s">
        <v>23</v>
      </c>
      <c r="K438" s="3" t="s">
        <v>24</v>
      </c>
      <c r="L438" s="3">
        <v>50</v>
      </c>
      <c r="M438" s="3" t="s">
        <v>51</v>
      </c>
      <c r="N438" s="3" t="s">
        <v>48</v>
      </c>
      <c r="O438" s="3" t="s">
        <v>15</v>
      </c>
    </row>
    <row r="439" spans="1:15" x14ac:dyDescent="0.25">
      <c r="A439" s="3">
        <v>27824</v>
      </c>
      <c r="B439" s="3" t="s">
        <v>37</v>
      </c>
      <c r="C439" s="3" t="s">
        <v>39</v>
      </c>
      <c r="D439" s="4">
        <v>30000</v>
      </c>
      <c r="E439" s="3">
        <v>3</v>
      </c>
      <c r="F439" s="3" t="s">
        <v>19</v>
      </c>
      <c r="G439" s="3" t="s">
        <v>20</v>
      </c>
      <c r="H439" s="3" t="s">
        <v>15</v>
      </c>
      <c r="I439" s="3">
        <v>2</v>
      </c>
      <c r="J439" s="3" t="s">
        <v>16</v>
      </c>
      <c r="K439" s="3" t="s">
        <v>17</v>
      </c>
      <c r="L439" s="3">
        <v>28</v>
      </c>
      <c r="M439" s="3" t="s">
        <v>53</v>
      </c>
      <c r="N439" s="3" t="s">
        <v>49</v>
      </c>
      <c r="O439" s="3" t="s">
        <v>15</v>
      </c>
    </row>
    <row r="440" spans="1:15" x14ac:dyDescent="0.25">
      <c r="A440" s="3">
        <v>24093</v>
      </c>
      <c r="B440" s="3" t="s">
        <v>37</v>
      </c>
      <c r="C440" s="3" t="s">
        <v>39</v>
      </c>
      <c r="D440" s="4">
        <v>80000</v>
      </c>
      <c r="E440" s="3">
        <v>0</v>
      </c>
      <c r="F440" s="3" t="s">
        <v>31</v>
      </c>
      <c r="G440" s="3" t="s">
        <v>14</v>
      </c>
      <c r="H440" s="3" t="s">
        <v>18</v>
      </c>
      <c r="I440" s="3">
        <v>0</v>
      </c>
      <c r="J440" s="3" t="s">
        <v>16</v>
      </c>
      <c r="K440" s="3" t="s">
        <v>17</v>
      </c>
      <c r="L440" s="3">
        <v>40</v>
      </c>
      <c r="M440" s="3" t="s">
        <v>53</v>
      </c>
      <c r="N440" s="3" t="s">
        <v>49</v>
      </c>
      <c r="O440" s="3" t="s">
        <v>15</v>
      </c>
    </row>
    <row r="441" spans="1:15" x14ac:dyDescent="0.25">
      <c r="A441" s="3">
        <v>19618</v>
      </c>
      <c r="B441" s="3" t="s">
        <v>36</v>
      </c>
      <c r="C441" s="3" t="s">
        <v>38</v>
      </c>
      <c r="D441" s="4">
        <v>70000</v>
      </c>
      <c r="E441" s="3">
        <v>5</v>
      </c>
      <c r="F441" s="3" t="s">
        <v>19</v>
      </c>
      <c r="G441" s="3" t="s">
        <v>14</v>
      </c>
      <c r="H441" s="3" t="s">
        <v>15</v>
      </c>
      <c r="I441" s="3">
        <v>2</v>
      </c>
      <c r="J441" s="3" t="s">
        <v>16</v>
      </c>
      <c r="K441" s="3" t="s">
        <v>24</v>
      </c>
      <c r="L441" s="3">
        <v>44</v>
      </c>
      <c r="M441" s="3" t="s">
        <v>53</v>
      </c>
      <c r="N441" s="3" t="s">
        <v>49</v>
      </c>
      <c r="O441" s="3" t="s">
        <v>18</v>
      </c>
    </row>
    <row r="442" spans="1:15" x14ac:dyDescent="0.25">
      <c r="A442" s="3">
        <v>21561</v>
      </c>
      <c r="B442" s="3" t="s">
        <v>37</v>
      </c>
      <c r="C442" s="3" t="s">
        <v>38</v>
      </c>
      <c r="D442" s="4">
        <v>90000</v>
      </c>
      <c r="E442" s="3">
        <v>0</v>
      </c>
      <c r="F442" s="3" t="s">
        <v>13</v>
      </c>
      <c r="G442" s="3" t="s">
        <v>21</v>
      </c>
      <c r="H442" s="3" t="s">
        <v>18</v>
      </c>
      <c r="I442" s="3">
        <v>3</v>
      </c>
      <c r="J442" s="3" t="s">
        <v>46</v>
      </c>
      <c r="K442" s="3" t="s">
        <v>24</v>
      </c>
      <c r="L442" s="3">
        <v>34</v>
      </c>
      <c r="M442" s="3" t="s">
        <v>53</v>
      </c>
      <c r="N442" s="3" t="s">
        <v>49</v>
      </c>
      <c r="O442" s="3" t="s">
        <v>15</v>
      </c>
    </row>
    <row r="443" spans="1:15" x14ac:dyDescent="0.25">
      <c r="A443" s="3">
        <v>11061</v>
      </c>
      <c r="B443" s="3" t="s">
        <v>36</v>
      </c>
      <c r="C443" s="3" t="s">
        <v>38</v>
      </c>
      <c r="D443" s="4">
        <v>70000</v>
      </c>
      <c r="E443" s="3">
        <v>2</v>
      </c>
      <c r="F443" s="3" t="s">
        <v>19</v>
      </c>
      <c r="G443" s="3" t="s">
        <v>14</v>
      </c>
      <c r="H443" s="3" t="s">
        <v>15</v>
      </c>
      <c r="I443" s="3">
        <v>2</v>
      </c>
      <c r="J443" s="3" t="s">
        <v>23</v>
      </c>
      <c r="K443" s="3" t="s">
        <v>24</v>
      </c>
      <c r="L443" s="3">
        <v>52</v>
      </c>
      <c r="M443" s="3" t="s">
        <v>51</v>
      </c>
      <c r="N443" s="3" t="s">
        <v>48</v>
      </c>
      <c r="O443" s="3" t="s">
        <v>15</v>
      </c>
    </row>
    <row r="444" spans="1:15" x14ac:dyDescent="0.25">
      <c r="A444" s="3">
        <v>26651</v>
      </c>
      <c r="B444" s="3" t="s">
        <v>37</v>
      </c>
      <c r="C444" s="3" t="s">
        <v>38</v>
      </c>
      <c r="D444" s="4">
        <v>80000</v>
      </c>
      <c r="E444" s="3">
        <v>4</v>
      </c>
      <c r="F444" s="3" t="s">
        <v>31</v>
      </c>
      <c r="G444" s="3" t="s">
        <v>28</v>
      </c>
      <c r="H444" s="3" t="s">
        <v>15</v>
      </c>
      <c r="I444" s="3">
        <v>0</v>
      </c>
      <c r="J444" s="3" t="s">
        <v>16</v>
      </c>
      <c r="K444" s="3" t="s">
        <v>24</v>
      </c>
      <c r="L444" s="3">
        <v>36</v>
      </c>
      <c r="M444" s="3" t="s">
        <v>53</v>
      </c>
      <c r="N444" s="3" t="s">
        <v>49</v>
      </c>
      <c r="O444" s="3" t="s">
        <v>15</v>
      </c>
    </row>
    <row r="445" spans="1:15" x14ac:dyDescent="0.25">
      <c r="A445" s="3">
        <v>21108</v>
      </c>
      <c r="B445" s="3" t="s">
        <v>36</v>
      </c>
      <c r="C445" s="3" t="s">
        <v>39</v>
      </c>
      <c r="D445" s="4">
        <v>40000</v>
      </c>
      <c r="E445" s="3">
        <v>1</v>
      </c>
      <c r="F445" s="3" t="s">
        <v>13</v>
      </c>
      <c r="G445" s="3" t="s">
        <v>14</v>
      </c>
      <c r="H445" s="3" t="s">
        <v>15</v>
      </c>
      <c r="I445" s="3">
        <v>1</v>
      </c>
      <c r="J445" s="3" t="s">
        <v>16</v>
      </c>
      <c r="K445" s="3" t="s">
        <v>17</v>
      </c>
      <c r="L445" s="3">
        <v>43</v>
      </c>
      <c r="M445" s="3" t="s">
        <v>53</v>
      </c>
      <c r="N445" s="3" t="s">
        <v>49</v>
      </c>
      <c r="O445" s="3" t="s">
        <v>15</v>
      </c>
    </row>
    <row r="446" spans="1:15" x14ac:dyDescent="0.25">
      <c r="A446" s="3">
        <v>12731</v>
      </c>
      <c r="B446" s="3" t="s">
        <v>37</v>
      </c>
      <c r="C446" s="3" t="s">
        <v>38</v>
      </c>
      <c r="D446" s="4">
        <v>30000</v>
      </c>
      <c r="E446" s="3">
        <v>0</v>
      </c>
      <c r="F446" s="3" t="s">
        <v>27</v>
      </c>
      <c r="G446" s="3" t="s">
        <v>25</v>
      </c>
      <c r="H446" s="3" t="s">
        <v>18</v>
      </c>
      <c r="I446" s="3">
        <v>1</v>
      </c>
      <c r="J446" s="3" t="s">
        <v>26</v>
      </c>
      <c r="K446" s="3" t="s">
        <v>17</v>
      </c>
      <c r="L446" s="3">
        <v>32</v>
      </c>
      <c r="M446" s="3" t="s">
        <v>53</v>
      </c>
      <c r="N446" s="3" t="s">
        <v>49</v>
      </c>
      <c r="O446" s="3" t="s">
        <v>18</v>
      </c>
    </row>
    <row r="447" spans="1:15" x14ac:dyDescent="0.25">
      <c r="A447" s="3">
        <v>25307</v>
      </c>
      <c r="B447" s="3" t="s">
        <v>36</v>
      </c>
      <c r="C447" s="3" t="s">
        <v>39</v>
      </c>
      <c r="D447" s="4">
        <v>40000</v>
      </c>
      <c r="E447" s="3">
        <v>1</v>
      </c>
      <c r="F447" s="3" t="s">
        <v>13</v>
      </c>
      <c r="G447" s="3" t="s">
        <v>14</v>
      </c>
      <c r="H447" s="3" t="s">
        <v>15</v>
      </c>
      <c r="I447" s="3">
        <v>1</v>
      </c>
      <c r="J447" s="3" t="s">
        <v>26</v>
      </c>
      <c r="K447" s="3" t="s">
        <v>17</v>
      </c>
      <c r="L447" s="3">
        <v>32</v>
      </c>
      <c r="M447" s="3" t="s">
        <v>53</v>
      </c>
      <c r="N447" s="3" t="s">
        <v>49</v>
      </c>
      <c r="O447" s="3" t="s">
        <v>15</v>
      </c>
    </row>
    <row r="448" spans="1:15" x14ac:dyDescent="0.25">
      <c r="A448" s="3">
        <v>14278</v>
      </c>
      <c r="B448" s="3" t="s">
        <v>36</v>
      </c>
      <c r="C448" s="3" t="s">
        <v>39</v>
      </c>
      <c r="D448" s="4">
        <v>130000</v>
      </c>
      <c r="E448" s="3">
        <v>0</v>
      </c>
      <c r="F448" s="3" t="s">
        <v>31</v>
      </c>
      <c r="G448" s="3" t="s">
        <v>28</v>
      </c>
      <c r="H448" s="3" t="s">
        <v>15</v>
      </c>
      <c r="I448" s="3">
        <v>1</v>
      </c>
      <c r="J448" s="3" t="s">
        <v>46</v>
      </c>
      <c r="K448" s="3" t="s">
        <v>24</v>
      </c>
      <c r="L448" s="3">
        <v>48</v>
      </c>
      <c r="M448" s="3" t="s">
        <v>51</v>
      </c>
      <c r="N448" s="3" t="s">
        <v>48</v>
      </c>
      <c r="O448" s="3" t="s">
        <v>18</v>
      </c>
    </row>
    <row r="449" spans="1:15" x14ac:dyDescent="0.25">
      <c r="A449" s="3">
        <v>20711</v>
      </c>
      <c r="B449" s="3" t="s">
        <v>36</v>
      </c>
      <c r="C449" s="3" t="s">
        <v>39</v>
      </c>
      <c r="D449" s="4">
        <v>40000</v>
      </c>
      <c r="E449" s="3">
        <v>1</v>
      </c>
      <c r="F449" s="3" t="s">
        <v>13</v>
      </c>
      <c r="G449" s="3" t="s">
        <v>14</v>
      </c>
      <c r="H449" s="3" t="s">
        <v>15</v>
      </c>
      <c r="I449" s="3">
        <v>0</v>
      </c>
      <c r="J449" s="3" t="s">
        <v>26</v>
      </c>
      <c r="K449" s="3" t="s">
        <v>17</v>
      </c>
      <c r="L449" s="3">
        <v>32</v>
      </c>
      <c r="M449" s="3" t="s">
        <v>53</v>
      </c>
      <c r="N449" s="3" t="s">
        <v>49</v>
      </c>
      <c r="O449" s="3" t="s">
        <v>15</v>
      </c>
    </row>
    <row r="450" spans="1:15" x14ac:dyDescent="0.25">
      <c r="A450" s="3">
        <v>11383</v>
      </c>
      <c r="B450" s="3" t="s">
        <v>36</v>
      </c>
      <c r="C450" s="3" t="s">
        <v>39</v>
      </c>
      <c r="D450" s="4">
        <v>30000</v>
      </c>
      <c r="E450" s="3">
        <v>3</v>
      </c>
      <c r="F450" s="3" t="s">
        <v>31</v>
      </c>
      <c r="G450" s="3" t="s">
        <v>20</v>
      </c>
      <c r="H450" s="3" t="s">
        <v>15</v>
      </c>
      <c r="I450" s="3">
        <v>0</v>
      </c>
      <c r="J450" s="3" t="s">
        <v>16</v>
      </c>
      <c r="K450" s="3" t="s">
        <v>17</v>
      </c>
      <c r="L450" s="3">
        <v>46</v>
      </c>
      <c r="M450" s="3" t="s">
        <v>51</v>
      </c>
      <c r="N450" s="3" t="s">
        <v>48</v>
      </c>
      <c r="O450" s="3" t="s">
        <v>18</v>
      </c>
    </row>
    <row r="451" spans="1:15" x14ac:dyDescent="0.25">
      <c r="A451" s="3">
        <v>12497</v>
      </c>
      <c r="B451" s="3" t="s">
        <v>36</v>
      </c>
      <c r="C451" s="3" t="s">
        <v>39</v>
      </c>
      <c r="D451" s="4">
        <v>40000</v>
      </c>
      <c r="E451" s="3">
        <v>1</v>
      </c>
      <c r="F451" s="3" t="s">
        <v>13</v>
      </c>
      <c r="G451" s="3" t="s">
        <v>14</v>
      </c>
      <c r="H451" s="3" t="s">
        <v>15</v>
      </c>
      <c r="I451" s="3">
        <v>0</v>
      </c>
      <c r="J451" s="3" t="s">
        <v>16</v>
      </c>
      <c r="K451" s="3" t="s">
        <v>17</v>
      </c>
      <c r="L451" s="3">
        <v>42</v>
      </c>
      <c r="M451" s="3" t="s">
        <v>53</v>
      </c>
      <c r="N451" s="3" t="s">
        <v>49</v>
      </c>
      <c r="O451" s="3" t="s">
        <v>18</v>
      </c>
    </row>
    <row r="452" spans="1:15" x14ac:dyDescent="0.25">
      <c r="A452" s="3">
        <v>16559</v>
      </c>
      <c r="B452" s="3" t="s">
        <v>37</v>
      </c>
      <c r="C452" s="3" t="s">
        <v>39</v>
      </c>
      <c r="D452" s="4">
        <v>10000</v>
      </c>
      <c r="E452" s="3">
        <v>2</v>
      </c>
      <c r="F452" s="3" t="s">
        <v>27</v>
      </c>
      <c r="G452" s="3" t="s">
        <v>25</v>
      </c>
      <c r="H452" s="3" t="s">
        <v>15</v>
      </c>
      <c r="I452" s="3">
        <v>0</v>
      </c>
      <c r="J452" s="3" t="s">
        <v>16</v>
      </c>
      <c r="K452" s="3" t="s">
        <v>17</v>
      </c>
      <c r="L452" s="3">
        <v>36</v>
      </c>
      <c r="M452" s="3" t="s">
        <v>53</v>
      </c>
      <c r="N452" s="3" t="s">
        <v>49</v>
      </c>
      <c r="O452" s="3" t="s">
        <v>15</v>
      </c>
    </row>
    <row r="453" spans="1:15" x14ac:dyDescent="0.25">
      <c r="A453" s="3">
        <v>11585</v>
      </c>
      <c r="B453" s="3" t="s">
        <v>36</v>
      </c>
      <c r="C453" s="3" t="s">
        <v>39</v>
      </c>
      <c r="D453" s="4">
        <v>40000</v>
      </c>
      <c r="E453" s="3">
        <v>1</v>
      </c>
      <c r="F453" s="3" t="s">
        <v>13</v>
      </c>
      <c r="G453" s="3" t="s">
        <v>14</v>
      </c>
      <c r="H453" s="3" t="s">
        <v>15</v>
      </c>
      <c r="I453" s="3">
        <v>0</v>
      </c>
      <c r="J453" s="3" t="s">
        <v>16</v>
      </c>
      <c r="K453" s="3" t="s">
        <v>17</v>
      </c>
      <c r="L453" s="3">
        <v>41</v>
      </c>
      <c r="M453" s="3" t="s">
        <v>53</v>
      </c>
      <c r="N453" s="3" t="s">
        <v>49</v>
      </c>
      <c r="O453" s="3" t="s">
        <v>18</v>
      </c>
    </row>
    <row r="454" spans="1:15" x14ac:dyDescent="0.25">
      <c r="A454" s="3">
        <v>20277</v>
      </c>
      <c r="B454" s="3" t="s">
        <v>36</v>
      </c>
      <c r="C454" s="3" t="s">
        <v>39</v>
      </c>
      <c r="D454" s="4">
        <v>30000</v>
      </c>
      <c r="E454" s="3">
        <v>2</v>
      </c>
      <c r="F454" s="3" t="s">
        <v>19</v>
      </c>
      <c r="G454" s="3" t="s">
        <v>20</v>
      </c>
      <c r="H454" s="3" t="s">
        <v>18</v>
      </c>
      <c r="I454" s="3">
        <v>2</v>
      </c>
      <c r="J454" s="3" t="s">
        <v>16</v>
      </c>
      <c r="K454" s="3" t="s">
        <v>24</v>
      </c>
      <c r="L454" s="3">
        <v>69</v>
      </c>
      <c r="M454" s="3" t="s">
        <v>54</v>
      </c>
      <c r="N454" s="3" t="s">
        <v>50</v>
      </c>
      <c r="O454" s="3" t="s">
        <v>18</v>
      </c>
    </row>
    <row r="455" spans="1:15" x14ac:dyDescent="0.25">
      <c r="A455" s="3">
        <v>26765</v>
      </c>
      <c r="B455" s="3" t="s">
        <v>37</v>
      </c>
      <c r="C455" s="3" t="s">
        <v>39</v>
      </c>
      <c r="D455" s="4">
        <v>70000</v>
      </c>
      <c r="E455" s="3">
        <v>5</v>
      </c>
      <c r="F455" s="3" t="s">
        <v>19</v>
      </c>
      <c r="G455" s="3" t="s">
        <v>14</v>
      </c>
      <c r="H455" s="3" t="s">
        <v>15</v>
      </c>
      <c r="I455" s="3">
        <v>2</v>
      </c>
      <c r="J455" s="3" t="s">
        <v>23</v>
      </c>
      <c r="K455" s="3" t="s">
        <v>24</v>
      </c>
      <c r="L455" s="3">
        <v>45</v>
      </c>
      <c r="M455" s="3" t="s">
        <v>51</v>
      </c>
      <c r="N455" s="3" t="s">
        <v>48</v>
      </c>
      <c r="O455" s="3" t="s">
        <v>18</v>
      </c>
    </row>
    <row r="456" spans="1:15" x14ac:dyDescent="0.25">
      <c r="A456" s="3">
        <v>12389</v>
      </c>
      <c r="B456" s="3" t="s">
        <v>37</v>
      </c>
      <c r="C456" s="3" t="s">
        <v>38</v>
      </c>
      <c r="D456" s="4">
        <v>30000</v>
      </c>
      <c r="E456" s="3">
        <v>0</v>
      </c>
      <c r="F456" s="3" t="s">
        <v>27</v>
      </c>
      <c r="G456" s="3" t="s">
        <v>25</v>
      </c>
      <c r="H456" s="3" t="s">
        <v>18</v>
      </c>
      <c r="I456" s="3">
        <v>1</v>
      </c>
      <c r="J456" s="3" t="s">
        <v>22</v>
      </c>
      <c r="K456" s="3" t="s">
        <v>17</v>
      </c>
      <c r="L456" s="3">
        <v>34</v>
      </c>
      <c r="M456" s="3" t="s">
        <v>53</v>
      </c>
      <c r="N456" s="3" t="s">
        <v>49</v>
      </c>
      <c r="O456" s="3" t="s">
        <v>18</v>
      </c>
    </row>
    <row r="457" spans="1:15" x14ac:dyDescent="0.25">
      <c r="A457" s="3">
        <v>13585</v>
      </c>
      <c r="B457" s="3" t="s">
        <v>36</v>
      </c>
      <c r="C457" s="3" t="s">
        <v>39</v>
      </c>
      <c r="D457" s="4">
        <v>80000</v>
      </c>
      <c r="E457" s="3">
        <v>4</v>
      </c>
      <c r="F457" s="3" t="s">
        <v>19</v>
      </c>
      <c r="G457" s="3" t="s">
        <v>21</v>
      </c>
      <c r="H457" s="3" t="s">
        <v>18</v>
      </c>
      <c r="I457" s="3">
        <v>1</v>
      </c>
      <c r="J457" s="3" t="s">
        <v>22</v>
      </c>
      <c r="K457" s="3" t="s">
        <v>17</v>
      </c>
      <c r="L457" s="3">
        <v>53</v>
      </c>
      <c r="M457" s="3" t="s">
        <v>51</v>
      </c>
      <c r="N457" s="3" t="s">
        <v>48</v>
      </c>
      <c r="O457" s="3" t="s">
        <v>15</v>
      </c>
    </row>
    <row r="458" spans="1:15" x14ac:dyDescent="0.25">
      <c r="A458" s="3">
        <v>26385</v>
      </c>
      <c r="B458" s="3" t="s">
        <v>37</v>
      </c>
      <c r="C458" s="3" t="s">
        <v>38</v>
      </c>
      <c r="D458" s="4">
        <v>120000</v>
      </c>
      <c r="E458" s="3">
        <v>3</v>
      </c>
      <c r="F458" s="3" t="s">
        <v>27</v>
      </c>
      <c r="G458" s="3" t="s">
        <v>21</v>
      </c>
      <c r="H458" s="3" t="s">
        <v>18</v>
      </c>
      <c r="I458" s="3">
        <v>4</v>
      </c>
      <c r="J458" s="3" t="s">
        <v>23</v>
      </c>
      <c r="K458" s="3" t="s">
        <v>17</v>
      </c>
      <c r="L458" s="3">
        <v>50</v>
      </c>
      <c r="M458" s="3" t="s">
        <v>51</v>
      </c>
      <c r="N458" s="3" t="s">
        <v>48</v>
      </c>
      <c r="O458" s="3" t="s">
        <v>18</v>
      </c>
    </row>
    <row r="459" spans="1:15" x14ac:dyDescent="0.25">
      <c r="A459" s="3">
        <v>12236</v>
      </c>
      <c r="B459" s="3" t="s">
        <v>36</v>
      </c>
      <c r="C459" s="3" t="s">
        <v>39</v>
      </c>
      <c r="D459" s="4">
        <v>20000</v>
      </c>
      <c r="E459" s="3">
        <v>1</v>
      </c>
      <c r="F459" s="3" t="s">
        <v>19</v>
      </c>
      <c r="G459" s="3" t="s">
        <v>25</v>
      </c>
      <c r="H459" s="3" t="s">
        <v>15</v>
      </c>
      <c r="I459" s="3">
        <v>0</v>
      </c>
      <c r="J459" s="3" t="s">
        <v>16</v>
      </c>
      <c r="K459" s="3" t="s">
        <v>17</v>
      </c>
      <c r="L459" s="3">
        <v>65</v>
      </c>
      <c r="M459" s="3" t="s">
        <v>54</v>
      </c>
      <c r="N459" s="3" t="s">
        <v>50</v>
      </c>
      <c r="O459" s="3" t="s">
        <v>18</v>
      </c>
    </row>
    <row r="460" spans="1:15" x14ac:dyDescent="0.25">
      <c r="A460" s="3">
        <v>21560</v>
      </c>
      <c r="B460" s="3" t="s">
        <v>36</v>
      </c>
      <c r="C460" s="3" t="s">
        <v>38</v>
      </c>
      <c r="D460" s="4">
        <v>120000</v>
      </c>
      <c r="E460" s="3">
        <v>0</v>
      </c>
      <c r="F460" s="3" t="s">
        <v>29</v>
      </c>
      <c r="G460" s="3" t="s">
        <v>21</v>
      </c>
      <c r="H460" s="3" t="s">
        <v>15</v>
      </c>
      <c r="I460" s="3">
        <v>4</v>
      </c>
      <c r="J460" s="3" t="s">
        <v>46</v>
      </c>
      <c r="K460" s="3" t="s">
        <v>24</v>
      </c>
      <c r="L460" s="3">
        <v>32</v>
      </c>
      <c r="M460" s="3" t="s">
        <v>53</v>
      </c>
      <c r="N460" s="3" t="s">
        <v>49</v>
      </c>
      <c r="O460" s="3" t="s">
        <v>15</v>
      </c>
    </row>
    <row r="461" spans="1:15" x14ac:dyDescent="0.25">
      <c r="A461" s="3">
        <v>21554</v>
      </c>
      <c r="B461" s="3" t="s">
        <v>37</v>
      </c>
      <c r="C461" s="3" t="s">
        <v>39</v>
      </c>
      <c r="D461" s="4">
        <v>80000</v>
      </c>
      <c r="E461" s="3">
        <v>0</v>
      </c>
      <c r="F461" s="3" t="s">
        <v>13</v>
      </c>
      <c r="G461" s="3" t="s">
        <v>21</v>
      </c>
      <c r="H461" s="3" t="s">
        <v>18</v>
      </c>
      <c r="I461" s="3">
        <v>3</v>
      </c>
      <c r="J461" s="3" t="s">
        <v>46</v>
      </c>
      <c r="K461" s="3" t="s">
        <v>24</v>
      </c>
      <c r="L461" s="3">
        <v>33</v>
      </c>
      <c r="M461" s="3" t="s">
        <v>53</v>
      </c>
      <c r="N461" s="3" t="s">
        <v>49</v>
      </c>
      <c r="O461" s="3" t="s">
        <v>18</v>
      </c>
    </row>
    <row r="462" spans="1:15" x14ac:dyDescent="0.25">
      <c r="A462" s="3">
        <v>13662</v>
      </c>
      <c r="B462" s="3" t="s">
        <v>37</v>
      </c>
      <c r="C462" s="3" t="s">
        <v>38</v>
      </c>
      <c r="D462" s="4">
        <v>20000</v>
      </c>
      <c r="E462" s="3">
        <v>0</v>
      </c>
      <c r="F462" s="3" t="s">
        <v>29</v>
      </c>
      <c r="G462" s="3" t="s">
        <v>25</v>
      </c>
      <c r="H462" s="3" t="s">
        <v>15</v>
      </c>
      <c r="I462" s="3">
        <v>2</v>
      </c>
      <c r="J462" s="3" t="s">
        <v>26</v>
      </c>
      <c r="K462" s="3" t="s">
        <v>17</v>
      </c>
      <c r="L462" s="3">
        <v>31</v>
      </c>
      <c r="M462" s="3" t="s">
        <v>53</v>
      </c>
      <c r="N462" s="3" t="s">
        <v>49</v>
      </c>
      <c r="O462" s="3" t="s">
        <v>15</v>
      </c>
    </row>
    <row r="463" spans="1:15" x14ac:dyDescent="0.25">
      <c r="A463" s="3">
        <v>13089</v>
      </c>
      <c r="B463" s="3" t="s">
        <v>36</v>
      </c>
      <c r="C463" s="3" t="s">
        <v>39</v>
      </c>
      <c r="D463" s="4">
        <v>120000</v>
      </c>
      <c r="E463" s="3">
        <v>1</v>
      </c>
      <c r="F463" s="3" t="s">
        <v>13</v>
      </c>
      <c r="G463" s="3" t="s">
        <v>28</v>
      </c>
      <c r="H463" s="3" t="s">
        <v>15</v>
      </c>
      <c r="I463" s="3">
        <v>2</v>
      </c>
      <c r="J463" s="3" t="s">
        <v>16</v>
      </c>
      <c r="K463" s="3" t="s">
        <v>24</v>
      </c>
      <c r="L463" s="3">
        <v>46</v>
      </c>
      <c r="M463" s="3" t="s">
        <v>51</v>
      </c>
      <c r="N463" s="3" t="s">
        <v>48</v>
      </c>
      <c r="O463" s="3" t="s">
        <v>15</v>
      </c>
    </row>
    <row r="464" spans="1:15" x14ac:dyDescent="0.25">
      <c r="A464" s="3">
        <v>14791</v>
      </c>
      <c r="B464" s="3" t="s">
        <v>36</v>
      </c>
      <c r="C464" s="3" t="s">
        <v>39</v>
      </c>
      <c r="D464" s="4">
        <v>40000</v>
      </c>
      <c r="E464" s="3">
        <v>0</v>
      </c>
      <c r="F464" s="3" t="s">
        <v>13</v>
      </c>
      <c r="G464" s="3" t="s">
        <v>20</v>
      </c>
      <c r="H464" s="3" t="s">
        <v>15</v>
      </c>
      <c r="I464" s="3">
        <v>0</v>
      </c>
      <c r="J464" s="3" t="s">
        <v>16</v>
      </c>
      <c r="K464" s="3" t="s">
        <v>17</v>
      </c>
      <c r="L464" s="3">
        <v>39</v>
      </c>
      <c r="M464" s="3" t="s">
        <v>53</v>
      </c>
      <c r="N464" s="3" t="s">
        <v>49</v>
      </c>
      <c r="O464" s="3" t="s">
        <v>15</v>
      </c>
    </row>
    <row r="465" spans="1:15" x14ac:dyDescent="0.25">
      <c r="A465" s="3">
        <v>19331</v>
      </c>
      <c r="B465" s="3" t="s">
        <v>37</v>
      </c>
      <c r="C465" s="3" t="s">
        <v>38</v>
      </c>
      <c r="D465" s="4">
        <v>20000</v>
      </c>
      <c r="E465" s="3">
        <v>2</v>
      </c>
      <c r="F465" s="3" t="s">
        <v>27</v>
      </c>
      <c r="G465" s="3" t="s">
        <v>25</v>
      </c>
      <c r="H465" s="3" t="s">
        <v>15</v>
      </c>
      <c r="I465" s="3">
        <v>1</v>
      </c>
      <c r="J465" s="3" t="s">
        <v>16</v>
      </c>
      <c r="K465" s="3" t="s">
        <v>17</v>
      </c>
      <c r="L465" s="3">
        <v>40</v>
      </c>
      <c r="M465" s="3" t="s">
        <v>53</v>
      </c>
      <c r="N465" s="3" t="s">
        <v>49</v>
      </c>
      <c r="O465" s="3" t="s">
        <v>18</v>
      </c>
    </row>
    <row r="466" spans="1:15" x14ac:dyDescent="0.25">
      <c r="A466" s="3">
        <v>17754</v>
      </c>
      <c r="B466" s="3" t="s">
        <v>37</v>
      </c>
      <c r="C466" s="3" t="s">
        <v>39</v>
      </c>
      <c r="D466" s="4">
        <v>30000</v>
      </c>
      <c r="E466" s="3">
        <v>3</v>
      </c>
      <c r="F466" s="3" t="s">
        <v>13</v>
      </c>
      <c r="G466" s="3" t="s">
        <v>20</v>
      </c>
      <c r="H466" s="3" t="s">
        <v>15</v>
      </c>
      <c r="I466" s="3">
        <v>0</v>
      </c>
      <c r="J466" s="3" t="s">
        <v>16</v>
      </c>
      <c r="K466" s="3" t="s">
        <v>17</v>
      </c>
      <c r="L466" s="3">
        <v>46</v>
      </c>
      <c r="M466" s="3" t="s">
        <v>51</v>
      </c>
      <c r="N466" s="3" t="s">
        <v>48</v>
      </c>
      <c r="O466" s="3" t="s">
        <v>15</v>
      </c>
    </row>
    <row r="467" spans="1:15" x14ac:dyDescent="0.25">
      <c r="A467" s="3">
        <v>11149</v>
      </c>
      <c r="B467" s="3" t="s">
        <v>36</v>
      </c>
      <c r="C467" s="3" t="s">
        <v>38</v>
      </c>
      <c r="D467" s="4">
        <v>40000</v>
      </c>
      <c r="E467" s="3">
        <v>2</v>
      </c>
      <c r="F467" s="3" t="s">
        <v>13</v>
      </c>
      <c r="G467" s="3" t="s">
        <v>28</v>
      </c>
      <c r="H467" s="3" t="s">
        <v>15</v>
      </c>
      <c r="I467" s="3">
        <v>2</v>
      </c>
      <c r="J467" s="3" t="s">
        <v>16</v>
      </c>
      <c r="K467" s="3" t="s">
        <v>24</v>
      </c>
      <c r="L467" s="3">
        <v>65</v>
      </c>
      <c r="M467" s="3" t="s">
        <v>54</v>
      </c>
      <c r="N467" s="3" t="s">
        <v>50</v>
      </c>
      <c r="O467" s="3" t="s">
        <v>18</v>
      </c>
    </row>
    <row r="468" spans="1:15" x14ac:dyDescent="0.25">
      <c r="A468" s="3">
        <v>16549</v>
      </c>
      <c r="B468" s="3" t="s">
        <v>37</v>
      </c>
      <c r="C468" s="3" t="s">
        <v>39</v>
      </c>
      <c r="D468" s="4">
        <v>30000</v>
      </c>
      <c r="E468" s="3">
        <v>3</v>
      </c>
      <c r="F468" s="3" t="s">
        <v>13</v>
      </c>
      <c r="G468" s="3" t="s">
        <v>20</v>
      </c>
      <c r="H468" s="3" t="s">
        <v>15</v>
      </c>
      <c r="I468" s="3">
        <v>0</v>
      </c>
      <c r="J468" s="3" t="s">
        <v>16</v>
      </c>
      <c r="K468" s="3" t="s">
        <v>17</v>
      </c>
      <c r="L468" s="3">
        <v>47</v>
      </c>
      <c r="M468" s="3" t="s">
        <v>51</v>
      </c>
      <c r="N468" s="3" t="s">
        <v>48</v>
      </c>
      <c r="O468" s="3" t="s">
        <v>15</v>
      </c>
    </row>
    <row r="469" spans="1:15" x14ac:dyDescent="0.25">
      <c r="A469" s="3">
        <v>24305</v>
      </c>
      <c r="B469" s="3" t="s">
        <v>37</v>
      </c>
      <c r="C469" s="3" t="s">
        <v>38</v>
      </c>
      <c r="D469" s="4">
        <v>100000</v>
      </c>
      <c r="E469" s="3">
        <v>1</v>
      </c>
      <c r="F469" s="3" t="s">
        <v>13</v>
      </c>
      <c r="G469" s="3" t="s">
        <v>28</v>
      </c>
      <c r="H469" s="3" t="s">
        <v>18</v>
      </c>
      <c r="I469" s="3">
        <v>3</v>
      </c>
      <c r="J469" s="3" t="s">
        <v>16</v>
      </c>
      <c r="K469" s="3" t="s">
        <v>24</v>
      </c>
      <c r="L469" s="3">
        <v>46</v>
      </c>
      <c r="M469" s="3" t="s">
        <v>51</v>
      </c>
      <c r="N469" s="3" t="s">
        <v>48</v>
      </c>
      <c r="O469" s="3" t="s">
        <v>15</v>
      </c>
    </row>
    <row r="470" spans="1:15" x14ac:dyDescent="0.25">
      <c r="A470" s="3">
        <v>18253</v>
      </c>
      <c r="B470" s="3" t="s">
        <v>36</v>
      </c>
      <c r="C470" s="3" t="s">
        <v>39</v>
      </c>
      <c r="D470" s="4">
        <v>80000</v>
      </c>
      <c r="E470" s="3">
        <v>5</v>
      </c>
      <c r="F470" s="3" t="s">
        <v>31</v>
      </c>
      <c r="G470" s="3" t="s">
        <v>28</v>
      </c>
      <c r="H470" s="3" t="s">
        <v>15</v>
      </c>
      <c r="I470" s="3">
        <v>3</v>
      </c>
      <c r="J470" s="3" t="s">
        <v>16</v>
      </c>
      <c r="K470" s="3" t="s">
        <v>24</v>
      </c>
      <c r="L470" s="3">
        <v>40</v>
      </c>
      <c r="M470" s="3" t="s">
        <v>53</v>
      </c>
      <c r="N470" s="3" t="s">
        <v>49</v>
      </c>
      <c r="O470" s="3" t="s">
        <v>18</v>
      </c>
    </row>
    <row r="471" spans="1:15" x14ac:dyDescent="0.25">
      <c r="A471" s="3">
        <v>20147</v>
      </c>
      <c r="B471" s="3" t="s">
        <v>36</v>
      </c>
      <c r="C471" s="3" t="s">
        <v>39</v>
      </c>
      <c r="D471" s="4">
        <v>30000</v>
      </c>
      <c r="E471" s="3">
        <v>1</v>
      </c>
      <c r="F471" s="3" t="s">
        <v>13</v>
      </c>
      <c r="G471" s="3" t="s">
        <v>20</v>
      </c>
      <c r="H471" s="3" t="s">
        <v>15</v>
      </c>
      <c r="I471" s="3">
        <v>0</v>
      </c>
      <c r="J471" s="3" t="s">
        <v>16</v>
      </c>
      <c r="K471" s="3" t="s">
        <v>17</v>
      </c>
      <c r="L471" s="3">
        <v>65</v>
      </c>
      <c r="M471" s="3" t="s">
        <v>54</v>
      </c>
      <c r="N471" s="3" t="s">
        <v>50</v>
      </c>
      <c r="O471" s="3" t="s">
        <v>18</v>
      </c>
    </row>
    <row r="472" spans="1:15" x14ac:dyDescent="0.25">
      <c r="A472" s="3">
        <v>15612</v>
      </c>
      <c r="B472" s="3" t="s">
        <v>37</v>
      </c>
      <c r="C472" s="3" t="s">
        <v>38</v>
      </c>
      <c r="D472" s="4">
        <v>30000</v>
      </c>
      <c r="E472" s="3">
        <v>0</v>
      </c>
      <c r="F472" s="3" t="s">
        <v>27</v>
      </c>
      <c r="G472" s="3" t="s">
        <v>25</v>
      </c>
      <c r="H472" s="3" t="s">
        <v>18</v>
      </c>
      <c r="I472" s="3">
        <v>1</v>
      </c>
      <c r="J472" s="3" t="s">
        <v>26</v>
      </c>
      <c r="K472" s="3" t="s">
        <v>17</v>
      </c>
      <c r="L472" s="3">
        <v>28</v>
      </c>
      <c r="M472" s="3" t="s">
        <v>53</v>
      </c>
      <c r="N472" s="3" t="s">
        <v>49</v>
      </c>
      <c r="O472" s="3" t="s">
        <v>18</v>
      </c>
    </row>
    <row r="473" spans="1:15" x14ac:dyDescent="0.25">
      <c r="A473" s="3">
        <v>28323</v>
      </c>
      <c r="B473" s="3" t="s">
        <v>37</v>
      </c>
      <c r="C473" s="3" t="s">
        <v>38</v>
      </c>
      <c r="D473" s="4">
        <v>70000</v>
      </c>
      <c r="E473" s="3">
        <v>0</v>
      </c>
      <c r="F473" s="3" t="s">
        <v>13</v>
      </c>
      <c r="G473" s="3" t="s">
        <v>21</v>
      </c>
      <c r="H473" s="3" t="s">
        <v>18</v>
      </c>
      <c r="I473" s="3">
        <v>2</v>
      </c>
      <c r="J473" s="3" t="s">
        <v>23</v>
      </c>
      <c r="K473" s="3" t="s">
        <v>24</v>
      </c>
      <c r="L473" s="3">
        <v>43</v>
      </c>
      <c r="M473" s="3" t="s">
        <v>53</v>
      </c>
      <c r="N473" s="3" t="s">
        <v>49</v>
      </c>
      <c r="O473" s="3" t="s">
        <v>15</v>
      </c>
    </row>
    <row r="474" spans="1:15" x14ac:dyDescent="0.25">
      <c r="A474" s="3">
        <v>22634</v>
      </c>
      <c r="B474" s="3" t="s">
        <v>37</v>
      </c>
      <c r="C474" s="3" t="s">
        <v>39</v>
      </c>
      <c r="D474" s="4">
        <v>40000</v>
      </c>
      <c r="E474" s="3">
        <v>0</v>
      </c>
      <c r="F474" s="3" t="s">
        <v>31</v>
      </c>
      <c r="G474" s="3" t="s">
        <v>20</v>
      </c>
      <c r="H474" s="3" t="s">
        <v>15</v>
      </c>
      <c r="I474" s="3">
        <v>0</v>
      </c>
      <c r="J474" s="3" t="s">
        <v>16</v>
      </c>
      <c r="K474" s="3" t="s">
        <v>17</v>
      </c>
      <c r="L474" s="3">
        <v>38</v>
      </c>
      <c r="M474" s="3" t="s">
        <v>53</v>
      </c>
      <c r="N474" s="3" t="s">
        <v>49</v>
      </c>
      <c r="O474" s="3" t="s">
        <v>15</v>
      </c>
    </row>
    <row r="475" spans="1:15" x14ac:dyDescent="0.25">
      <c r="A475" s="3">
        <v>15665</v>
      </c>
      <c r="B475" s="3" t="s">
        <v>36</v>
      </c>
      <c r="C475" s="3" t="s">
        <v>39</v>
      </c>
      <c r="D475" s="4">
        <v>30000</v>
      </c>
      <c r="E475" s="3">
        <v>0</v>
      </c>
      <c r="F475" s="3" t="s">
        <v>13</v>
      </c>
      <c r="G475" s="3" t="s">
        <v>20</v>
      </c>
      <c r="H475" s="3" t="s">
        <v>15</v>
      </c>
      <c r="I475" s="3">
        <v>0</v>
      </c>
      <c r="J475" s="3" t="s">
        <v>16</v>
      </c>
      <c r="K475" s="3" t="s">
        <v>17</v>
      </c>
      <c r="L475" s="3">
        <v>47</v>
      </c>
      <c r="M475" s="3" t="s">
        <v>51</v>
      </c>
      <c r="N475" s="3" t="s">
        <v>48</v>
      </c>
      <c r="O475" s="3" t="s">
        <v>15</v>
      </c>
    </row>
    <row r="476" spans="1:15" x14ac:dyDescent="0.25">
      <c r="A476" s="3">
        <v>27585</v>
      </c>
      <c r="B476" s="3" t="s">
        <v>36</v>
      </c>
      <c r="C476" s="3" t="s">
        <v>39</v>
      </c>
      <c r="D476" s="4">
        <v>90000</v>
      </c>
      <c r="E476" s="3">
        <v>2</v>
      </c>
      <c r="F476" s="3" t="s">
        <v>13</v>
      </c>
      <c r="G476" s="3" t="s">
        <v>21</v>
      </c>
      <c r="H476" s="3" t="s">
        <v>18</v>
      </c>
      <c r="I476" s="3">
        <v>0</v>
      </c>
      <c r="J476" s="3" t="s">
        <v>16</v>
      </c>
      <c r="K476" s="3" t="s">
        <v>24</v>
      </c>
      <c r="L476" s="3">
        <v>36</v>
      </c>
      <c r="M476" s="3" t="s">
        <v>53</v>
      </c>
      <c r="N476" s="3" t="s">
        <v>49</v>
      </c>
      <c r="O476" s="3" t="s">
        <v>15</v>
      </c>
    </row>
    <row r="477" spans="1:15" x14ac:dyDescent="0.25">
      <c r="A477" s="3">
        <v>19748</v>
      </c>
      <c r="B477" s="3" t="s">
        <v>36</v>
      </c>
      <c r="C477" s="3" t="s">
        <v>38</v>
      </c>
      <c r="D477" s="4">
        <v>20000</v>
      </c>
      <c r="E477" s="3">
        <v>4</v>
      </c>
      <c r="F477" s="3" t="s">
        <v>27</v>
      </c>
      <c r="G477" s="3" t="s">
        <v>14</v>
      </c>
      <c r="H477" s="3" t="s">
        <v>18</v>
      </c>
      <c r="I477" s="3">
        <v>2</v>
      </c>
      <c r="J477" s="3" t="s">
        <v>26</v>
      </c>
      <c r="K477" s="3" t="s">
        <v>24</v>
      </c>
      <c r="L477" s="3">
        <v>60</v>
      </c>
      <c r="M477" s="3" t="s">
        <v>54</v>
      </c>
      <c r="N477" s="3" t="s">
        <v>50</v>
      </c>
      <c r="O477" s="3" t="s">
        <v>18</v>
      </c>
    </row>
    <row r="478" spans="1:15" x14ac:dyDescent="0.25">
      <c r="A478" s="3">
        <v>21974</v>
      </c>
      <c r="B478" s="3" t="s">
        <v>37</v>
      </c>
      <c r="C478" s="3" t="s">
        <v>39</v>
      </c>
      <c r="D478" s="4">
        <v>70000</v>
      </c>
      <c r="E478" s="3">
        <v>0</v>
      </c>
      <c r="F478" s="3" t="s">
        <v>13</v>
      </c>
      <c r="G478" s="3" t="s">
        <v>21</v>
      </c>
      <c r="H478" s="3" t="s">
        <v>15</v>
      </c>
      <c r="I478" s="3">
        <v>1</v>
      </c>
      <c r="J478" s="3" t="s">
        <v>23</v>
      </c>
      <c r="K478" s="3" t="s">
        <v>24</v>
      </c>
      <c r="L478" s="3">
        <v>42</v>
      </c>
      <c r="M478" s="3" t="s">
        <v>53</v>
      </c>
      <c r="N478" s="3" t="s">
        <v>49</v>
      </c>
      <c r="O478" s="3" t="s">
        <v>15</v>
      </c>
    </row>
    <row r="479" spans="1:15" x14ac:dyDescent="0.25">
      <c r="A479" s="3">
        <v>14032</v>
      </c>
      <c r="B479" s="3" t="s">
        <v>36</v>
      </c>
      <c r="C479" s="3" t="s">
        <v>38</v>
      </c>
      <c r="D479" s="4">
        <v>70000</v>
      </c>
      <c r="E479" s="3">
        <v>2</v>
      </c>
      <c r="F479" s="3" t="s">
        <v>27</v>
      </c>
      <c r="G479" s="3" t="s">
        <v>14</v>
      </c>
      <c r="H479" s="3" t="s">
        <v>18</v>
      </c>
      <c r="I479" s="3">
        <v>2</v>
      </c>
      <c r="J479" s="3" t="s">
        <v>26</v>
      </c>
      <c r="K479" s="3" t="s">
        <v>24</v>
      </c>
      <c r="L479" s="3">
        <v>50</v>
      </c>
      <c r="M479" s="3" t="s">
        <v>51</v>
      </c>
      <c r="N479" s="3" t="s">
        <v>48</v>
      </c>
      <c r="O479" s="3" t="s">
        <v>15</v>
      </c>
    </row>
    <row r="480" spans="1:15" x14ac:dyDescent="0.25">
      <c r="A480" s="3">
        <v>22610</v>
      </c>
      <c r="B480" s="3" t="s">
        <v>36</v>
      </c>
      <c r="C480" s="3" t="s">
        <v>38</v>
      </c>
      <c r="D480" s="4">
        <v>30000</v>
      </c>
      <c r="E480" s="3">
        <v>0</v>
      </c>
      <c r="F480" s="3" t="s">
        <v>13</v>
      </c>
      <c r="G480" s="3" t="s">
        <v>20</v>
      </c>
      <c r="H480" s="3" t="s">
        <v>15</v>
      </c>
      <c r="I480" s="3">
        <v>0</v>
      </c>
      <c r="J480" s="3" t="s">
        <v>16</v>
      </c>
      <c r="K480" s="3" t="s">
        <v>17</v>
      </c>
      <c r="L480" s="3">
        <v>35</v>
      </c>
      <c r="M480" s="3" t="s">
        <v>53</v>
      </c>
      <c r="N480" s="3" t="s">
        <v>49</v>
      </c>
      <c r="O480" s="3" t="s">
        <v>15</v>
      </c>
    </row>
    <row r="481" spans="1:15" x14ac:dyDescent="0.25">
      <c r="A481" s="3">
        <v>26984</v>
      </c>
      <c r="B481" s="3" t="s">
        <v>36</v>
      </c>
      <c r="C481" s="3" t="s">
        <v>38</v>
      </c>
      <c r="D481" s="4">
        <v>40000</v>
      </c>
      <c r="E481" s="3">
        <v>1</v>
      </c>
      <c r="F481" s="3" t="s">
        <v>13</v>
      </c>
      <c r="G481" s="3" t="s">
        <v>14</v>
      </c>
      <c r="H481" s="3" t="s">
        <v>15</v>
      </c>
      <c r="I481" s="3">
        <v>1</v>
      </c>
      <c r="J481" s="3" t="s">
        <v>16</v>
      </c>
      <c r="K481" s="3" t="s">
        <v>17</v>
      </c>
      <c r="L481" s="3">
        <v>32</v>
      </c>
      <c r="M481" s="3" t="s">
        <v>53</v>
      </c>
      <c r="N481" s="3" t="s">
        <v>49</v>
      </c>
      <c r="O481" s="3" t="s">
        <v>15</v>
      </c>
    </row>
    <row r="482" spans="1:15" x14ac:dyDescent="0.25">
      <c r="A482" s="3">
        <v>18294</v>
      </c>
      <c r="B482" s="3" t="s">
        <v>36</v>
      </c>
      <c r="C482" s="3" t="s">
        <v>39</v>
      </c>
      <c r="D482" s="4">
        <v>90000</v>
      </c>
      <c r="E482" s="3">
        <v>1</v>
      </c>
      <c r="F482" s="3" t="s">
        <v>13</v>
      </c>
      <c r="G482" s="3" t="s">
        <v>21</v>
      </c>
      <c r="H482" s="3" t="s">
        <v>15</v>
      </c>
      <c r="I482" s="3">
        <v>1</v>
      </c>
      <c r="J482" s="3" t="s">
        <v>23</v>
      </c>
      <c r="K482" s="3" t="s">
        <v>24</v>
      </c>
      <c r="L482" s="3">
        <v>46</v>
      </c>
      <c r="M482" s="3" t="s">
        <v>51</v>
      </c>
      <c r="N482" s="3" t="s">
        <v>48</v>
      </c>
      <c r="O482" s="3" t="s">
        <v>18</v>
      </c>
    </row>
    <row r="483" spans="1:15" x14ac:dyDescent="0.25">
      <c r="A483" s="3">
        <v>28564</v>
      </c>
      <c r="B483" s="3" t="s">
        <v>37</v>
      </c>
      <c r="C483" s="3" t="s">
        <v>39</v>
      </c>
      <c r="D483" s="4">
        <v>40000</v>
      </c>
      <c r="E483" s="3">
        <v>2</v>
      </c>
      <c r="F483" s="3" t="s">
        <v>19</v>
      </c>
      <c r="G483" s="3" t="s">
        <v>20</v>
      </c>
      <c r="H483" s="3" t="s">
        <v>15</v>
      </c>
      <c r="I483" s="3">
        <v>0</v>
      </c>
      <c r="J483" s="3" t="s">
        <v>26</v>
      </c>
      <c r="K483" s="3" t="s">
        <v>17</v>
      </c>
      <c r="L483" s="3">
        <v>33</v>
      </c>
      <c r="M483" s="3" t="s">
        <v>53</v>
      </c>
      <c r="N483" s="3" t="s">
        <v>49</v>
      </c>
      <c r="O483" s="3" t="s">
        <v>15</v>
      </c>
    </row>
    <row r="484" spans="1:15" x14ac:dyDescent="0.25">
      <c r="A484" s="3">
        <v>28521</v>
      </c>
      <c r="B484" s="3" t="s">
        <v>37</v>
      </c>
      <c r="C484" s="3" t="s">
        <v>38</v>
      </c>
      <c r="D484" s="4">
        <v>40000</v>
      </c>
      <c r="E484" s="3">
        <v>0</v>
      </c>
      <c r="F484" s="3" t="s">
        <v>31</v>
      </c>
      <c r="G484" s="3" t="s">
        <v>20</v>
      </c>
      <c r="H484" s="3" t="s">
        <v>18</v>
      </c>
      <c r="I484" s="3">
        <v>0</v>
      </c>
      <c r="J484" s="3" t="s">
        <v>16</v>
      </c>
      <c r="K484" s="3" t="s">
        <v>17</v>
      </c>
      <c r="L484" s="3">
        <v>36</v>
      </c>
      <c r="M484" s="3" t="s">
        <v>53</v>
      </c>
      <c r="N484" s="3" t="s">
        <v>49</v>
      </c>
      <c r="O484" s="3" t="s">
        <v>15</v>
      </c>
    </row>
    <row r="485" spans="1:15" x14ac:dyDescent="0.25">
      <c r="A485" s="3">
        <v>15450</v>
      </c>
      <c r="B485" s="3" t="s">
        <v>36</v>
      </c>
      <c r="C485" s="3" t="s">
        <v>38</v>
      </c>
      <c r="D485" s="4">
        <v>10000</v>
      </c>
      <c r="E485" s="3">
        <v>1</v>
      </c>
      <c r="F485" s="3" t="s">
        <v>31</v>
      </c>
      <c r="G485" s="3" t="s">
        <v>20</v>
      </c>
      <c r="H485" s="3" t="s">
        <v>15</v>
      </c>
      <c r="I485" s="3">
        <v>0</v>
      </c>
      <c r="J485" s="3" t="s">
        <v>16</v>
      </c>
      <c r="K485" s="3" t="s">
        <v>17</v>
      </c>
      <c r="L485" s="3">
        <v>70</v>
      </c>
      <c r="M485" s="3" t="s">
        <v>54</v>
      </c>
      <c r="N485" s="3" t="s">
        <v>50</v>
      </c>
      <c r="O485" s="3" t="s">
        <v>18</v>
      </c>
    </row>
    <row r="486" spans="1:15" x14ac:dyDescent="0.25">
      <c r="A486" s="3">
        <v>25681</v>
      </c>
      <c r="B486" s="3" t="s">
        <v>37</v>
      </c>
      <c r="C486" s="3" t="s">
        <v>39</v>
      </c>
      <c r="D486" s="4">
        <v>30000</v>
      </c>
      <c r="E486" s="3">
        <v>0</v>
      </c>
      <c r="F486" s="3" t="s">
        <v>19</v>
      </c>
      <c r="G486" s="3" t="s">
        <v>20</v>
      </c>
      <c r="H486" s="3" t="s">
        <v>18</v>
      </c>
      <c r="I486" s="3">
        <v>1</v>
      </c>
      <c r="J486" s="3" t="s">
        <v>22</v>
      </c>
      <c r="K486" s="3" t="s">
        <v>17</v>
      </c>
      <c r="L486" s="3">
        <v>31</v>
      </c>
      <c r="M486" s="3" t="s">
        <v>53</v>
      </c>
      <c r="N486" s="3" t="s">
        <v>49</v>
      </c>
      <c r="O486" s="3" t="s">
        <v>15</v>
      </c>
    </row>
    <row r="487" spans="1:15" x14ac:dyDescent="0.25">
      <c r="A487" s="3">
        <v>19491</v>
      </c>
      <c r="B487" s="3" t="s">
        <v>37</v>
      </c>
      <c r="C487" s="3" t="s">
        <v>38</v>
      </c>
      <c r="D487" s="4">
        <v>30000</v>
      </c>
      <c r="E487" s="3">
        <v>2</v>
      </c>
      <c r="F487" s="3" t="s">
        <v>19</v>
      </c>
      <c r="G487" s="3" t="s">
        <v>20</v>
      </c>
      <c r="H487" s="3" t="s">
        <v>15</v>
      </c>
      <c r="I487" s="3">
        <v>2</v>
      </c>
      <c r="J487" s="3" t="s">
        <v>16</v>
      </c>
      <c r="K487" s="3" t="s">
        <v>17</v>
      </c>
      <c r="L487" s="3">
        <v>42</v>
      </c>
      <c r="M487" s="3" t="s">
        <v>53</v>
      </c>
      <c r="N487" s="3" t="s">
        <v>49</v>
      </c>
      <c r="O487" s="3" t="s">
        <v>18</v>
      </c>
    </row>
    <row r="488" spans="1:15" x14ac:dyDescent="0.25">
      <c r="A488" s="3">
        <v>26415</v>
      </c>
      <c r="B488" s="3" t="s">
        <v>36</v>
      </c>
      <c r="C488" s="3" t="s">
        <v>39</v>
      </c>
      <c r="D488" s="4">
        <v>90000</v>
      </c>
      <c r="E488" s="3">
        <v>4</v>
      </c>
      <c r="F488" s="3" t="s">
        <v>29</v>
      </c>
      <c r="G488" s="3" t="s">
        <v>14</v>
      </c>
      <c r="H488" s="3" t="s">
        <v>15</v>
      </c>
      <c r="I488" s="3">
        <v>4</v>
      </c>
      <c r="J488" s="3" t="s">
        <v>46</v>
      </c>
      <c r="K488" s="3" t="s">
        <v>17</v>
      </c>
      <c r="L488" s="3">
        <v>58</v>
      </c>
      <c r="M488" s="3" t="s">
        <v>54</v>
      </c>
      <c r="N488" s="3" t="s">
        <v>50</v>
      </c>
      <c r="O488" s="3" t="s">
        <v>18</v>
      </c>
    </row>
    <row r="489" spans="1:15" x14ac:dyDescent="0.25">
      <c r="A489" s="3">
        <v>12821</v>
      </c>
      <c r="B489" s="3" t="s">
        <v>36</v>
      </c>
      <c r="C489" s="3" t="s">
        <v>38</v>
      </c>
      <c r="D489" s="4">
        <v>40000</v>
      </c>
      <c r="E489" s="3">
        <v>0</v>
      </c>
      <c r="F489" s="3" t="s">
        <v>13</v>
      </c>
      <c r="G489" s="3" t="s">
        <v>20</v>
      </c>
      <c r="H489" s="3" t="s">
        <v>15</v>
      </c>
      <c r="I489" s="3">
        <v>0</v>
      </c>
      <c r="J489" s="3" t="s">
        <v>16</v>
      </c>
      <c r="K489" s="3" t="s">
        <v>17</v>
      </c>
      <c r="L489" s="3">
        <v>39</v>
      </c>
      <c r="M489" s="3" t="s">
        <v>53</v>
      </c>
      <c r="N489" s="3" t="s">
        <v>49</v>
      </c>
      <c r="O489" s="3" t="s">
        <v>18</v>
      </c>
    </row>
    <row r="490" spans="1:15" x14ac:dyDescent="0.25">
      <c r="A490" s="3">
        <v>15629</v>
      </c>
      <c r="B490" s="3" t="s">
        <v>37</v>
      </c>
      <c r="C490" s="3" t="s">
        <v>39</v>
      </c>
      <c r="D490" s="4">
        <v>10000</v>
      </c>
      <c r="E490" s="3">
        <v>0</v>
      </c>
      <c r="F490" s="3" t="s">
        <v>29</v>
      </c>
      <c r="G490" s="3" t="s">
        <v>25</v>
      </c>
      <c r="H490" s="3" t="s">
        <v>15</v>
      </c>
      <c r="I490" s="3">
        <v>2</v>
      </c>
      <c r="J490" s="3" t="s">
        <v>26</v>
      </c>
      <c r="K490" s="3" t="s">
        <v>17</v>
      </c>
      <c r="L490" s="3">
        <v>34</v>
      </c>
      <c r="M490" s="3" t="s">
        <v>53</v>
      </c>
      <c r="N490" s="3" t="s">
        <v>49</v>
      </c>
      <c r="O490" s="3" t="s">
        <v>18</v>
      </c>
    </row>
    <row r="491" spans="1:15" x14ac:dyDescent="0.25">
      <c r="A491" s="3">
        <v>27835</v>
      </c>
      <c r="B491" s="3" t="s">
        <v>36</v>
      </c>
      <c r="C491" s="3" t="s">
        <v>38</v>
      </c>
      <c r="D491" s="4">
        <v>20000</v>
      </c>
      <c r="E491" s="3">
        <v>0</v>
      </c>
      <c r="F491" s="3" t="s">
        <v>29</v>
      </c>
      <c r="G491" s="3" t="s">
        <v>25</v>
      </c>
      <c r="H491" s="3" t="s">
        <v>15</v>
      </c>
      <c r="I491" s="3">
        <v>2</v>
      </c>
      <c r="J491" s="3" t="s">
        <v>16</v>
      </c>
      <c r="K491" s="3" t="s">
        <v>17</v>
      </c>
      <c r="L491" s="3">
        <v>32</v>
      </c>
      <c r="M491" s="3" t="s">
        <v>53</v>
      </c>
      <c r="N491" s="3" t="s">
        <v>49</v>
      </c>
      <c r="O491" s="3" t="s">
        <v>18</v>
      </c>
    </row>
    <row r="492" spans="1:15" x14ac:dyDescent="0.25">
      <c r="A492" s="3">
        <v>11738</v>
      </c>
      <c r="B492" s="3" t="s">
        <v>36</v>
      </c>
      <c r="C492" s="3" t="s">
        <v>38</v>
      </c>
      <c r="D492" s="4">
        <v>60000</v>
      </c>
      <c r="E492" s="3">
        <v>4</v>
      </c>
      <c r="F492" s="3" t="s">
        <v>13</v>
      </c>
      <c r="G492" s="3" t="s">
        <v>21</v>
      </c>
      <c r="H492" s="3" t="s">
        <v>15</v>
      </c>
      <c r="I492" s="3">
        <v>0</v>
      </c>
      <c r="J492" s="3" t="s">
        <v>22</v>
      </c>
      <c r="K492" s="3" t="s">
        <v>32</v>
      </c>
      <c r="L492" s="3">
        <v>46</v>
      </c>
      <c r="M492" s="3" t="s">
        <v>51</v>
      </c>
      <c r="N492" s="3" t="s">
        <v>48</v>
      </c>
      <c r="O492" s="3" t="s">
        <v>18</v>
      </c>
    </row>
    <row r="493" spans="1:15" x14ac:dyDescent="0.25">
      <c r="A493" s="3">
        <v>25065</v>
      </c>
      <c r="B493" s="3" t="s">
        <v>36</v>
      </c>
      <c r="C493" s="3" t="s">
        <v>38</v>
      </c>
      <c r="D493" s="4">
        <v>70000</v>
      </c>
      <c r="E493" s="3">
        <v>2</v>
      </c>
      <c r="F493" s="3" t="s">
        <v>29</v>
      </c>
      <c r="G493" s="3" t="s">
        <v>14</v>
      </c>
      <c r="H493" s="3" t="s">
        <v>15</v>
      </c>
      <c r="I493" s="3">
        <v>2</v>
      </c>
      <c r="J493" s="3" t="s">
        <v>23</v>
      </c>
      <c r="K493" s="3" t="s">
        <v>32</v>
      </c>
      <c r="L493" s="3">
        <v>48</v>
      </c>
      <c r="M493" s="3" t="s">
        <v>51</v>
      </c>
      <c r="N493" s="3" t="s">
        <v>48</v>
      </c>
      <c r="O493" s="3" t="s">
        <v>18</v>
      </c>
    </row>
    <row r="494" spans="1:15" x14ac:dyDescent="0.25">
      <c r="A494" s="3">
        <v>26238</v>
      </c>
      <c r="B494" s="3" t="s">
        <v>37</v>
      </c>
      <c r="C494" s="3" t="s">
        <v>39</v>
      </c>
      <c r="D494" s="4">
        <v>40000</v>
      </c>
      <c r="E494" s="3">
        <v>3</v>
      </c>
      <c r="F494" s="3" t="s">
        <v>19</v>
      </c>
      <c r="G494" s="3" t="s">
        <v>20</v>
      </c>
      <c r="H494" s="3" t="s">
        <v>15</v>
      </c>
      <c r="I494" s="3">
        <v>1</v>
      </c>
      <c r="J494" s="3" t="s">
        <v>26</v>
      </c>
      <c r="K494" s="3" t="s">
        <v>32</v>
      </c>
      <c r="L494" s="3">
        <v>31</v>
      </c>
      <c r="M494" s="3" t="s">
        <v>53</v>
      </c>
      <c r="N494" s="3" t="s">
        <v>49</v>
      </c>
      <c r="O494" s="3" t="s">
        <v>15</v>
      </c>
    </row>
    <row r="495" spans="1:15" x14ac:dyDescent="0.25">
      <c r="A495" s="3">
        <v>23707</v>
      </c>
      <c r="B495" s="3" t="s">
        <v>37</v>
      </c>
      <c r="C495" s="3" t="s">
        <v>38</v>
      </c>
      <c r="D495" s="4">
        <v>70000</v>
      </c>
      <c r="E495" s="3">
        <v>5</v>
      </c>
      <c r="F495" s="3" t="s">
        <v>13</v>
      </c>
      <c r="G495" s="3" t="s">
        <v>28</v>
      </c>
      <c r="H495" s="3" t="s">
        <v>15</v>
      </c>
      <c r="I495" s="3">
        <v>3</v>
      </c>
      <c r="J495" s="3" t="s">
        <v>46</v>
      </c>
      <c r="K495" s="3" t="s">
        <v>32</v>
      </c>
      <c r="L495" s="3">
        <v>60</v>
      </c>
      <c r="M495" s="3" t="s">
        <v>54</v>
      </c>
      <c r="N495" s="3" t="s">
        <v>50</v>
      </c>
      <c r="O495" s="3" t="s">
        <v>15</v>
      </c>
    </row>
    <row r="496" spans="1:15" x14ac:dyDescent="0.25">
      <c r="A496" s="3">
        <v>27650</v>
      </c>
      <c r="B496" s="3" t="s">
        <v>36</v>
      </c>
      <c r="C496" s="3" t="s">
        <v>38</v>
      </c>
      <c r="D496" s="4">
        <v>70000</v>
      </c>
      <c r="E496" s="3">
        <v>4</v>
      </c>
      <c r="F496" s="3" t="s">
        <v>27</v>
      </c>
      <c r="G496" s="3" t="s">
        <v>21</v>
      </c>
      <c r="H496" s="3" t="s">
        <v>15</v>
      </c>
      <c r="I496" s="3">
        <v>0</v>
      </c>
      <c r="J496" s="3" t="s">
        <v>23</v>
      </c>
      <c r="K496" s="3" t="s">
        <v>32</v>
      </c>
      <c r="L496" s="3">
        <v>51</v>
      </c>
      <c r="M496" s="3" t="s">
        <v>51</v>
      </c>
      <c r="N496" s="3" t="s">
        <v>48</v>
      </c>
      <c r="O496" s="3" t="s">
        <v>18</v>
      </c>
    </row>
    <row r="497" spans="1:15" x14ac:dyDescent="0.25">
      <c r="A497" s="3">
        <v>24981</v>
      </c>
      <c r="B497" s="3" t="s">
        <v>36</v>
      </c>
      <c r="C497" s="3" t="s">
        <v>38</v>
      </c>
      <c r="D497" s="4">
        <v>60000</v>
      </c>
      <c r="E497" s="3">
        <v>2</v>
      </c>
      <c r="F497" s="3" t="s">
        <v>19</v>
      </c>
      <c r="G497" s="3" t="s">
        <v>21</v>
      </c>
      <c r="H497" s="3" t="s">
        <v>15</v>
      </c>
      <c r="I497" s="3">
        <v>2</v>
      </c>
      <c r="J497" s="3" t="s">
        <v>46</v>
      </c>
      <c r="K497" s="3" t="s">
        <v>32</v>
      </c>
      <c r="L497" s="3">
        <v>56</v>
      </c>
      <c r="M497" s="3" t="s">
        <v>54</v>
      </c>
      <c r="N497" s="3" t="s">
        <v>50</v>
      </c>
      <c r="O497" s="3" t="s">
        <v>18</v>
      </c>
    </row>
    <row r="498" spans="1:15" x14ac:dyDescent="0.25">
      <c r="A498" s="3">
        <v>20678</v>
      </c>
      <c r="B498" s="3" t="s">
        <v>37</v>
      </c>
      <c r="C498" s="3" t="s">
        <v>39</v>
      </c>
      <c r="D498" s="4">
        <v>60000</v>
      </c>
      <c r="E498" s="3">
        <v>3</v>
      </c>
      <c r="F498" s="3" t="s">
        <v>13</v>
      </c>
      <c r="G498" s="3" t="s">
        <v>14</v>
      </c>
      <c r="H498" s="3" t="s">
        <v>15</v>
      </c>
      <c r="I498" s="3">
        <v>1</v>
      </c>
      <c r="J498" s="3" t="s">
        <v>22</v>
      </c>
      <c r="K498" s="3" t="s">
        <v>32</v>
      </c>
      <c r="L498" s="3">
        <v>40</v>
      </c>
      <c r="M498" s="3" t="s">
        <v>53</v>
      </c>
      <c r="N498" s="3" t="s">
        <v>49</v>
      </c>
      <c r="O498" s="3" t="s">
        <v>15</v>
      </c>
    </row>
    <row r="499" spans="1:15" x14ac:dyDescent="0.25">
      <c r="A499" s="3">
        <v>15302</v>
      </c>
      <c r="B499" s="3" t="s">
        <v>37</v>
      </c>
      <c r="C499" s="3" t="s">
        <v>39</v>
      </c>
      <c r="D499" s="4">
        <v>70000</v>
      </c>
      <c r="E499" s="3">
        <v>1</v>
      </c>
      <c r="F499" s="3" t="s">
        <v>31</v>
      </c>
      <c r="G499" s="3" t="s">
        <v>21</v>
      </c>
      <c r="H499" s="3" t="s">
        <v>15</v>
      </c>
      <c r="I499" s="3">
        <v>0</v>
      </c>
      <c r="J499" s="3" t="s">
        <v>22</v>
      </c>
      <c r="K499" s="3" t="s">
        <v>32</v>
      </c>
      <c r="L499" s="3">
        <v>34</v>
      </c>
      <c r="M499" s="3" t="s">
        <v>53</v>
      </c>
      <c r="N499" s="3" t="s">
        <v>49</v>
      </c>
      <c r="O499" s="3" t="s">
        <v>15</v>
      </c>
    </row>
    <row r="500" spans="1:15" x14ac:dyDescent="0.25">
      <c r="A500" s="3">
        <v>26012</v>
      </c>
      <c r="B500" s="3" t="s">
        <v>36</v>
      </c>
      <c r="C500" s="3" t="s">
        <v>38</v>
      </c>
      <c r="D500" s="4">
        <v>80000</v>
      </c>
      <c r="E500" s="3">
        <v>1</v>
      </c>
      <c r="F500" s="3" t="s">
        <v>19</v>
      </c>
      <c r="G500" s="3" t="s">
        <v>14</v>
      </c>
      <c r="H500" s="3" t="s">
        <v>15</v>
      </c>
      <c r="I500" s="3">
        <v>1</v>
      </c>
      <c r="J500" s="3" t="s">
        <v>22</v>
      </c>
      <c r="K500" s="3" t="s">
        <v>32</v>
      </c>
      <c r="L500" s="3">
        <v>48</v>
      </c>
      <c r="M500" s="3" t="s">
        <v>51</v>
      </c>
      <c r="N500" s="3" t="s">
        <v>48</v>
      </c>
      <c r="O500" s="3" t="s">
        <v>15</v>
      </c>
    </row>
    <row r="501" spans="1:15" x14ac:dyDescent="0.25">
      <c r="A501" s="3">
        <v>26575</v>
      </c>
      <c r="B501" s="3" t="s">
        <v>37</v>
      </c>
      <c r="C501" s="3" t="s">
        <v>39</v>
      </c>
      <c r="D501" s="4">
        <v>40000</v>
      </c>
      <c r="E501" s="3">
        <v>0</v>
      </c>
      <c r="F501" s="3" t="s">
        <v>27</v>
      </c>
      <c r="G501" s="3" t="s">
        <v>14</v>
      </c>
      <c r="H501" s="3" t="s">
        <v>18</v>
      </c>
      <c r="I501" s="3">
        <v>2</v>
      </c>
      <c r="J501" s="3" t="s">
        <v>26</v>
      </c>
      <c r="K501" s="3" t="s">
        <v>32</v>
      </c>
      <c r="L501" s="3">
        <v>31</v>
      </c>
      <c r="M501" s="3" t="s">
        <v>53</v>
      </c>
      <c r="N501" s="3" t="s">
        <v>49</v>
      </c>
      <c r="O501" s="3" t="s">
        <v>15</v>
      </c>
    </row>
    <row r="502" spans="1:15" x14ac:dyDescent="0.25">
      <c r="A502" s="3">
        <v>15559</v>
      </c>
      <c r="B502" s="3" t="s">
        <v>36</v>
      </c>
      <c r="C502" s="3" t="s">
        <v>38</v>
      </c>
      <c r="D502" s="4">
        <v>60000</v>
      </c>
      <c r="E502" s="3">
        <v>5</v>
      </c>
      <c r="F502" s="3" t="s">
        <v>13</v>
      </c>
      <c r="G502" s="3" t="s">
        <v>21</v>
      </c>
      <c r="H502" s="3" t="s">
        <v>15</v>
      </c>
      <c r="I502" s="3">
        <v>1</v>
      </c>
      <c r="J502" s="3" t="s">
        <v>22</v>
      </c>
      <c r="K502" s="3" t="s">
        <v>32</v>
      </c>
      <c r="L502" s="3">
        <v>47</v>
      </c>
      <c r="M502" s="3" t="s">
        <v>51</v>
      </c>
      <c r="N502" s="3" t="s">
        <v>48</v>
      </c>
      <c r="O502" s="3" t="s">
        <v>18</v>
      </c>
    </row>
    <row r="503" spans="1:15" x14ac:dyDescent="0.25">
      <c r="A503" s="3">
        <v>19235</v>
      </c>
      <c r="B503" s="3" t="s">
        <v>36</v>
      </c>
      <c r="C503" s="3" t="s">
        <v>39</v>
      </c>
      <c r="D503" s="4">
        <v>50000</v>
      </c>
      <c r="E503" s="3">
        <v>0</v>
      </c>
      <c r="F503" s="3" t="s">
        <v>31</v>
      </c>
      <c r="G503" s="3" t="s">
        <v>14</v>
      </c>
      <c r="H503" s="3" t="s">
        <v>15</v>
      </c>
      <c r="I503" s="3">
        <v>0</v>
      </c>
      <c r="J503" s="3" t="s">
        <v>16</v>
      </c>
      <c r="K503" s="3" t="s">
        <v>32</v>
      </c>
      <c r="L503" s="3">
        <v>34</v>
      </c>
      <c r="M503" s="3" t="s">
        <v>53</v>
      </c>
      <c r="N503" s="3" t="s">
        <v>49</v>
      </c>
      <c r="O503" s="3" t="s">
        <v>18</v>
      </c>
    </row>
    <row r="504" spans="1:15" x14ac:dyDescent="0.25">
      <c r="A504" s="3">
        <v>15275</v>
      </c>
      <c r="B504" s="3" t="s">
        <v>36</v>
      </c>
      <c r="C504" s="3" t="s">
        <v>38</v>
      </c>
      <c r="D504" s="4">
        <v>40000</v>
      </c>
      <c r="E504" s="3">
        <v>0</v>
      </c>
      <c r="F504" s="3" t="s">
        <v>19</v>
      </c>
      <c r="G504" s="3" t="s">
        <v>14</v>
      </c>
      <c r="H504" s="3" t="s">
        <v>15</v>
      </c>
      <c r="I504" s="3">
        <v>1</v>
      </c>
      <c r="J504" s="3" t="s">
        <v>23</v>
      </c>
      <c r="K504" s="3" t="s">
        <v>32</v>
      </c>
      <c r="L504" s="3">
        <v>29</v>
      </c>
      <c r="M504" s="3" t="s">
        <v>53</v>
      </c>
      <c r="N504" s="3" t="s">
        <v>49</v>
      </c>
      <c r="O504" s="3" t="s">
        <v>18</v>
      </c>
    </row>
    <row r="505" spans="1:15" x14ac:dyDescent="0.25">
      <c r="A505" s="3">
        <v>20339</v>
      </c>
      <c r="B505" s="3" t="s">
        <v>36</v>
      </c>
      <c r="C505" s="3" t="s">
        <v>39</v>
      </c>
      <c r="D505" s="4">
        <v>130000</v>
      </c>
      <c r="E505" s="3">
        <v>1</v>
      </c>
      <c r="F505" s="3" t="s">
        <v>13</v>
      </c>
      <c r="G505" s="3" t="s">
        <v>28</v>
      </c>
      <c r="H505" s="3" t="s">
        <v>15</v>
      </c>
      <c r="I505" s="3">
        <v>4</v>
      </c>
      <c r="J505" s="3" t="s">
        <v>22</v>
      </c>
      <c r="K505" s="3" t="s">
        <v>32</v>
      </c>
      <c r="L505" s="3">
        <v>44</v>
      </c>
      <c r="M505" s="3" t="s">
        <v>53</v>
      </c>
      <c r="N505" s="3" t="s">
        <v>49</v>
      </c>
      <c r="O505" s="3" t="s">
        <v>15</v>
      </c>
    </row>
    <row r="506" spans="1:15" x14ac:dyDescent="0.25">
      <c r="A506" s="3">
        <v>25405</v>
      </c>
      <c r="B506" s="3" t="s">
        <v>36</v>
      </c>
      <c r="C506" s="3" t="s">
        <v>38</v>
      </c>
      <c r="D506" s="4">
        <v>70000</v>
      </c>
      <c r="E506" s="3">
        <v>2</v>
      </c>
      <c r="F506" s="3" t="s">
        <v>13</v>
      </c>
      <c r="G506" s="3" t="s">
        <v>14</v>
      </c>
      <c r="H506" s="3" t="s">
        <v>15</v>
      </c>
      <c r="I506" s="3">
        <v>1</v>
      </c>
      <c r="J506" s="3" t="s">
        <v>22</v>
      </c>
      <c r="K506" s="3" t="s">
        <v>32</v>
      </c>
      <c r="L506" s="3">
        <v>38</v>
      </c>
      <c r="M506" s="3" t="s">
        <v>53</v>
      </c>
      <c r="N506" s="3" t="s">
        <v>49</v>
      </c>
      <c r="O506" s="3" t="s">
        <v>15</v>
      </c>
    </row>
    <row r="507" spans="1:15" x14ac:dyDescent="0.25">
      <c r="A507" s="3">
        <v>15940</v>
      </c>
      <c r="B507" s="3" t="s">
        <v>36</v>
      </c>
      <c r="C507" s="3" t="s">
        <v>38</v>
      </c>
      <c r="D507" s="4">
        <v>100000</v>
      </c>
      <c r="E507" s="3">
        <v>4</v>
      </c>
      <c r="F507" s="3" t="s">
        <v>19</v>
      </c>
      <c r="G507" s="3" t="s">
        <v>21</v>
      </c>
      <c r="H507" s="3" t="s">
        <v>15</v>
      </c>
      <c r="I507" s="3">
        <v>4</v>
      </c>
      <c r="J507" s="3" t="s">
        <v>16</v>
      </c>
      <c r="K507" s="3" t="s">
        <v>32</v>
      </c>
      <c r="L507" s="3">
        <v>40</v>
      </c>
      <c r="M507" s="3" t="s">
        <v>53</v>
      </c>
      <c r="N507" s="3" t="s">
        <v>49</v>
      </c>
      <c r="O507" s="3" t="s">
        <v>18</v>
      </c>
    </row>
    <row r="508" spans="1:15" x14ac:dyDescent="0.25">
      <c r="A508" s="3">
        <v>25074</v>
      </c>
      <c r="B508" s="3" t="s">
        <v>36</v>
      </c>
      <c r="C508" s="3" t="s">
        <v>39</v>
      </c>
      <c r="D508" s="4">
        <v>70000</v>
      </c>
      <c r="E508" s="3">
        <v>4</v>
      </c>
      <c r="F508" s="3" t="s">
        <v>13</v>
      </c>
      <c r="G508" s="3" t="s">
        <v>21</v>
      </c>
      <c r="H508" s="3" t="s">
        <v>15</v>
      </c>
      <c r="I508" s="3">
        <v>2</v>
      </c>
      <c r="J508" s="3" t="s">
        <v>22</v>
      </c>
      <c r="K508" s="3" t="s">
        <v>32</v>
      </c>
      <c r="L508" s="3">
        <v>42</v>
      </c>
      <c r="M508" s="3" t="s">
        <v>53</v>
      </c>
      <c r="N508" s="3" t="s">
        <v>49</v>
      </c>
      <c r="O508" s="3" t="s">
        <v>15</v>
      </c>
    </row>
    <row r="509" spans="1:15" x14ac:dyDescent="0.25">
      <c r="A509" s="3">
        <v>24738</v>
      </c>
      <c r="B509" s="3" t="s">
        <v>36</v>
      </c>
      <c r="C509" s="3" t="s">
        <v>39</v>
      </c>
      <c r="D509" s="4">
        <v>40000</v>
      </c>
      <c r="E509" s="3">
        <v>1</v>
      </c>
      <c r="F509" s="3" t="s">
        <v>19</v>
      </c>
      <c r="G509" s="3" t="s">
        <v>20</v>
      </c>
      <c r="H509" s="3" t="s">
        <v>15</v>
      </c>
      <c r="I509" s="3">
        <v>1</v>
      </c>
      <c r="J509" s="3" t="s">
        <v>26</v>
      </c>
      <c r="K509" s="3" t="s">
        <v>32</v>
      </c>
      <c r="L509" s="3">
        <v>51</v>
      </c>
      <c r="M509" s="3" t="s">
        <v>51</v>
      </c>
      <c r="N509" s="3" t="s">
        <v>48</v>
      </c>
      <c r="O509" s="3" t="s">
        <v>15</v>
      </c>
    </row>
    <row r="510" spans="1:15" x14ac:dyDescent="0.25">
      <c r="A510" s="3">
        <v>16337</v>
      </c>
      <c r="B510" s="3" t="s">
        <v>36</v>
      </c>
      <c r="C510" s="3" t="s">
        <v>38</v>
      </c>
      <c r="D510" s="4">
        <v>60000</v>
      </c>
      <c r="E510" s="3">
        <v>0</v>
      </c>
      <c r="F510" s="3" t="s">
        <v>19</v>
      </c>
      <c r="G510" s="3" t="s">
        <v>14</v>
      </c>
      <c r="H510" s="3" t="s">
        <v>18</v>
      </c>
      <c r="I510" s="3">
        <v>2</v>
      </c>
      <c r="J510" s="3" t="s">
        <v>26</v>
      </c>
      <c r="K510" s="3" t="s">
        <v>32</v>
      </c>
      <c r="L510" s="3">
        <v>29</v>
      </c>
      <c r="M510" s="3" t="s">
        <v>53</v>
      </c>
      <c r="N510" s="3" t="s">
        <v>49</v>
      </c>
      <c r="O510" s="3" t="s">
        <v>18</v>
      </c>
    </row>
    <row r="511" spans="1:15" x14ac:dyDescent="0.25">
      <c r="A511" s="3">
        <v>24357</v>
      </c>
      <c r="B511" s="3" t="s">
        <v>36</v>
      </c>
      <c r="C511" s="3" t="s">
        <v>38</v>
      </c>
      <c r="D511" s="4">
        <v>80000</v>
      </c>
      <c r="E511" s="3">
        <v>3</v>
      </c>
      <c r="F511" s="3" t="s">
        <v>13</v>
      </c>
      <c r="G511" s="3" t="s">
        <v>21</v>
      </c>
      <c r="H511" s="3" t="s">
        <v>15</v>
      </c>
      <c r="I511" s="3">
        <v>1</v>
      </c>
      <c r="J511" s="3" t="s">
        <v>22</v>
      </c>
      <c r="K511" s="3" t="s">
        <v>32</v>
      </c>
      <c r="L511" s="3">
        <v>48</v>
      </c>
      <c r="M511" s="3" t="s">
        <v>51</v>
      </c>
      <c r="N511" s="3" t="s">
        <v>48</v>
      </c>
      <c r="O511" s="3" t="s">
        <v>15</v>
      </c>
    </row>
    <row r="512" spans="1:15" x14ac:dyDescent="0.25">
      <c r="A512" s="3">
        <v>18613</v>
      </c>
      <c r="B512" s="3" t="s">
        <v>37</v>
      </c>
      <c r="C512" s="3" t="s">
        <v>38</v>
      </c>
      <c r="D512" s="4">
        <v>70000</v>
      </c>
      <c r="E512" s="3">
        <v>0</v>
      </c>
      <c r="F512" s="3" t="s">
        <v>13</v>
      </c>
      <c r="G512" s="3" t="s">
        <v>21</v>
      </c>
      <c r="H512" s="3" t="s">
        <v>18</v>
      </c>
      <c r="I512" s="3">
        <v>1</v>
      </c>
      <c r="J512" s="3" t="s">
        <v>22</v>
      </c>
      <c r="K512" s="3" t="s">
        <v>32</v>
      </c>
      <c r="L512" s="3">
        <v>37</v>
      </c>
      <c r="M512" s="3" t="s">
        <v>53</v>
      </c>
      <c r="N512" s="3" t="s">
        <v>49</v>
      </c>
      <c r="O512" s="3" t="s">
        <v>15</v>
      </c>
    </row>
    <row r="513" spans="1:15" x14ac:dyDescent="0.25">
      <c r="A513" s="3">
        <v>12207</v>
      </c>
      <c r="B513" s="3" t="s">
        <v>37</v>
      </c>
      <c r="C513" s="3" t="s">
        <v>38</v>
      </c>
      <c r="D513" s="4">
        <v>80000</v>
      </c>
      <c r="E513" s="3">
        <v>4</v>
      </c>
      <c r="F513" s="3" t="s">
        <v>13</v>
      </c>
      <c r="G513" s="3" t="s">
        <v>28</v>
      </c>
      <c r="H513" s="3" t="s">
        <v>15</v>
      </c>
      <c r="I513" s="3">
        <v>0</v>
      </c>
      <c r="J513" s="3" t="s">
        <v>23</v>
      </c>
      <c r="K513" s="3" t="s">
        <v>32</v>
      </c>
      <c r="L513" s="3">
        <v>66</v>
      </c>
      <c r="M513" s="3" t="s">
        <v>54</v>
      </c>
      <c r="N513" s="3" t="s">
        <v>50</v>
      </c>
      <c r="O513" s="3" t="s">
        <v>15</v>
      </c>
    </row>
    <row r="514" spans="1:15" x14ac:dyDescent="0.25">
      <c r="A514" s="3">
        <v>18052</v>
      </c>
      <c r="B514" s="3" t="s">
        <v>36</v>
      </c>
      <c r="C514" s="3" t="s">
        <v>39</v>
      </c>
      <c r="D514" s="4">
        <v>60000</v>
      </c>
      <c r="E514" s="3">
        <v>1</v>
      </c>
      <c r="F514" s="3" t="s">
        <v>19</v>
      </c>
      <c r="G514" s="3" t="s">
        <v>14</v>
      </c>
      <c r="H514" s="3" t="s">
        <v>15</v>
      </c>
      <c r="I514" s="3">
        <v>1</v>
      </c>
      <c r="J514" s="3" t="s">
        <v>16</v>
      </c>
      <c r="K514" s="3" t="s">
        <v>32</v>
      </c>
      <c r="L514" s="3">
        <v>45</v>
      </c>
      <c r="M514" s="3" t="s">
        <v>51</v>
      </c>
      <c r="N514" s="3" t="s">
        <v>48</v>
      </c>
      <c r="O514" s="3" t="s">
        <v>15</v>
      </c>
    </row>
    <row r="515" spans="1:15" x14ac:dyDescent="0.25">
      <c r="A515" s="3">
        <v>13353</v>
      </c>
      <c r="B515" s="3" t="s">
        <v>37</v>
      </c>
      <c r="C515" s="3" t="s">
        <v>39</v>
      </c>
      <c r="D515" s="4">
        <v>60000</v>
      </c>
      <c r="E515" s="3">
        <v>4</v>
      </c>
      <c r="F515" s="3" t="s">
        <v>31</v>
      </c>
      <c r="G515" s="3" t="s">
        <v>28</v>
      </c>
      <c r="H515" s="3" t="s">
        <v>15</v>
      </c>
      <c r="I515" s="3">
        <v>2</v>
      </c>
      <c r="J515" s="3" t="s">
        <v>46</v>
      </c>
      <c r="K515" s="3" t="s">
        <v>32</v>
      </c>
      <c r="L515" s="3">
        <v>61</v>
      </c>
      <c r="M515" s="3" t="s">
        <v>54</v>
      </c>
      <c r="N515" s="3" t="s">
        <v>50</v>
      </c>
      <c r="O515" s="3" t="s">
        <v>15</v>
      </c>
    </row>
    <row r="516" spans="1:15" x14ac:dyDescent="0.25">
      <c r="A516" s="3">
        <v>19399</v>
      </c>
      <c r="B516" s="3" t="s">
        <v>37</v>
      </c>
      <c r="C516" s="3" t="s">
        <v>38</v>
      </c>
      <c r="D516" s="4">
        <v>40000</v>
      </c>
      <c r="E516" s="3">
        <v>0</v>
      </c>
      <c r="F516" s="3" t="s">
        <v>13</v>
      </c>
      <c r="G516" s="3" t="s">
        <v>21</v>
      </c>
      <c r="H516" s="3" t="s">
        <v>18</v>
      </c>
      <c r="I516" s="3">
        <v>1</v>
      </c>
      <c r="J516" s="3" t="s">
        <v>22</v>
      </c>
      <c r="K516" s="3" t="s">
        <v>32</v>
      </c>
      <c r="L516" s="3">
        <v>45</v>
      </c>
      <c r="M516" s="3" t="s">
        <v>51</v>
      </c>
      <c r="N516" s="3" t="s">
        <v>48</v>
      </c>
      <c r="O516" s="3" t="s">
        <v>18</v>
      </c>
    </row>
    <row r="517" spans="1:15" x14ac:dyDescent="0.25">
      <c r="A517" s="3">
        <v>16154</v>
      </c>
      <c r="B517" s="3" t="s">
        <v>36</v>
      </c>
      <c r="C517" s="3" t="s">
        <v>39</v>
      </c>
      <c r="D517" s="4">
        <v>70000</v>
      </c>
      <c r="E517" s="3">
        <v>5</v>
      </c>
      <c r="F517" s="3" t="s">
        <v>13</v>
      </c>
      <c r="G517" s="3" t="s">
        <v>21</v>
      </c>
      <c r="H517" s="3" t="s">
        <v>15</v>
      </c>
      <c r="I517" s="3">
        <v>2</v>
      </c>
      <c r="J517" s="3" t="s">
        <v>22</v>
      </c>
      <c r="K517" s="3" t="s">
        <v>32</v>
      </c>
      <c r="L517" s="3">
        <v>47</v>
      </c>
      <c r="M517" s="3" t="s">
        <v>51</v>
      </c>
      <c r="N517" s="3" t="s">
        <v>48</v>
      </c>
      <c r="O517" s="3" t="s">
        <v>18</v>
      </c>
    </row>
    <row r="518" spans="1:15" x14ac:dyDescent="0.25">
      <c r="A518" s="3">
        <v>22219</v>
      </c>
      <c r="B518" s="3" t="s">
        <v>36</v>
      </c>
      <c r="C518" s="3" t="s">
        <v>39</v>
      </c>
      <c r="D518" s="4">
        <v>60000</v>
      </c>
      <c r="E518" s="3">
        <v>2</v>
      </c>
      <c r="F518" s="3" t="s">
        <v>27</v>
      </c>
      <c r="G518" s="3" t="s">
        <v>21</v>
      </c>
      <c r="H518" s="3" t="s">
        <v>15</v>
      </c>
      <c r="I518" s="3">
        <v>2</v>
      </c>
      <c r="J518" s="3" t="s">
        <v>23</v>
      </c>
      <c r="K518" s="3" t="s">
        <v>32</v>
      </c>
      <c r="L518" s="3">
        <v>49</v>
      </c>
      <c r="M518" s="3" t="s">
        <v>51</v>
      </c>
      <c r="N518" s="3" t="s">
        <v>48</v>
      </c>
      <c r="O518" s="3" t="s">
        <v>18</v>
      </c>
    </row>
    <row r="519" spans="1:15" x14ac:dyDescent="0.25">
      <c r="A519" s="3">
        <v>17269</v>
      </c>
      <c r="B519" s="3" t="s">
        <v>37</v>
      </c>
      <c r="C519" s="3" t="s">
        <v>38</v>
      </c>
      <c r="D519" s="4">
        <v>60000</v>
      </c>
      <c r="E519" s="3">
        <v>3</v>
      </c>
      <c r="F519" s="3" t="s">
        <v>13</v>
      </c>
      <c r="G519" s="3" t="s">
        <v>21</v>
      </c>
      <c r="H519" s="3" t="s">
        <v>18</v>
      </c>
      <c r="I519" s="3">
        <v>0</v>
      </c>
      <c r="J519" s="3" t="s">
        <v>16</v>
      </c>
      <c r="K519" s="3" t="s">
        <v>32</v>
      </c>
      <c r="L519" s="3">
        <v>47</v>
      </c>
      <c r="M519" s="3" t="s">
        <v>51</v>
      </c>
      <c r="N519" s="3" t="s">
        <v>48</v>
      </c>
      <c r="O519" s="3" t="s">
        <v>15</v>
      </c>
    </row>
    <row r="520" spans="1:15" x14ac:dyDescent="0.25">
      <c r="A520" s="3">
        <v>23586</v>
      </c>
      <c r="B520" s="3" t="s">
        <v>36</v>
      </c>
      <c r="C520" s="3" t="s">
        <v>39</v>
      </c>
      <c r="D520" s="4">
        <v>80000</v>
      </c>
      <c r="E520" s="3">
        <v>0</v>
      </c>
      <c r="F520" s="3" t="s">
        <v>13</v>
      </c>
      <c r="G520" s="3" t="s">
        <v>28</v>
      </c>
      <c r="H520" s="3" t="s">
        <v>15</v>
      </c>
      <c r="I520" s="3">
        <v>1</v>
      </c>
      <c r="J520" s="3" t="s">
        <v>26</v>
      </c>
      <c r="K520" s="3" t="s">
        <v>32</v>
      </c>
      <c r="L520" s="3">
        <v>34</v>
      </c>
      <c r="M520" s="3" t="s">
        <v>53</v>
      </c>
      <c r="N520" s="3" t="s">
        <v>49</v>
      </c>
      <c r="O520" s="3" t="s">
        <v>15</v>
      </c>
    </row>
    <row r="521" spans="1:15" x14ac:dyDescent="0.25">
      <c r="A521" s="3">
        <v>15740</v>
      </c>
      <c r="B521" s="3" t="s">
        <v>36</v>
      </c>
      <c r="C521" s="3" t="s">
        <v>38</v>
      </c>
      <c r="D521" s="4">
        <v>80000</v>
      </c>
      <c r="E521" s="3">
        <v>5</v>
      </c>
      <c r="F521" s="3" t="s">
        <v>13</v>
      </c>
      <c r="G521" s="3" t="s">
        <v>28</v>
      </c>
      <c r="H521" s="3" t="s">
        <v>15</v>
      </c>
      <c r="I521" s="3">
        <v>2</v>
      </c>
      <c r="J521" s="3" t="s">
        <v>26</v>
      </c>
      <c r="K521" s="3" t="s">
        <v>32</v>
      </c>
      <c r="L521" s="3">
        <v>64</v>
      </c>
      <c r="M521" s="3" t="s">
        <v>54</v>
      </c>
      <c r="N521" s="3" t="s">
        <v>50</v>
      </c>
      <c r="O521" s="3" t="s">
        <v>18</v>
      </c>
    </row>
    <row r="522" spans="1:15" x14ac:dyDescent="0.25">
      <c r="A522" s="3">
        <v>27638</v>
      </c>
      <c r="B522" s="3" t="s">
        <v>37</v>
      </c>
      <c r="C522" s="3" t="s">
        <v>38</v>
      </c>
      <c r="D522" s="4">
        <v>100000</v>
      </c>
      <c r="E522" s="3">
        <v>1</v>
      </c>
      <c r="F522" s="3" t="s">
        <v>19</v>
      </c>
      <c r="G522" s="3" t="s">
        <v>21</v>
      </c>
      <c r="H522" s="3" t="s">
        <v>18</v>
      </c>
      <c r="I522" s="3">
        <v>3</v>
      </c>
      <c r="J522" s="3" t="s">
        <v>26</v>
      </c>
      <c r="K522" s="3" t="s">
        <v>32</v>
      </c>
      <c r="L522" s="3">
        <v>44</v>
      </c>
      <c r="M522" s="3" t="s">
        <v>53</v>
      </c>
      <c r="N522" s="3" t="s">
        <v>49</v>
      </c>
      <c r="O522" s="3" t="s">
        <v>18</v>
      </c>
    </row>
    <row r="523" spans="1:15" x14ac:dyDescent="0.25">
      <c r="A523" s="3">
        <v>18976</v>
      </c>
      <c r="B523" s="3" t="s">
        <v>37</v>
      </c>
      <c r="C523" s="3" t="s">
        <v>38</v>
      </c>
      <c r="D523" s="4">
        <v>40000</v>
      </c>
      <c r="E523" s="3">
        <v>4</v>
      </c>
      <c r="F523" s="3" t="s">
        <v>27</v>
      </c>
      <c r="G523" s="3" t="s">
        <v>21</v>
      </c>
      <c r="H523" s="3" t="s">
        <v>15</v>
      </c>
      <c r="I523" s="3">
        <v>2</v>
      </c>
      <c r="J523" s="3" t="s">
        <v>46</v>
      </c>
      <c r="K523" s="3" t="s">
        <v>32</v>
      </c>
      <c r="L523" s="3">
        <v>62</v>
      </c>
      <c r="M523" s="3" t="s">
        <v>54</v>
      </c>
      <c r="N523" s="3" t="s">
        <v>50</v>
      </c>
      <c r="O523" s="3" t="s">
        <v>15</v>
      </c>
    </row>
    <row r="524" spans="1:15" x14ac:dyDescent="0.25">
      <c r="A524" s="3">
        <v>19413</v>
      </c>
      <c r="B524" s="3" t="s">
        <v>37</v>
      </c>
      <c r="C524" s="3" t="s">
        <v>38</v>
      </c>
      <c r="D524" s="4">
        <v>60000</v>
      </c>
      <c r="E524" s="3">
        <v>3</v>
      </c>
      <c r="F524" s="3" t="s">
        <v>13</v>
      </c>
      <c r="G524" s="3" t="s">
        <v>21</v>
      </c>
      <c r="H524" s="3" t="s">
        <v>18</v>
      </c>
      <c r="I524" s="3">
        <v>1</v>
      </c>
      <c r="J524" s="3" t="s">
        <v>16</v>
      </c>
      <c r="K524" s="3" t="s">
        <v>32</v>
      </c>
      <c r="L524" s="3">
        <v>47</v>
      </c>
      <c r="M524" s="3" t="s">
        <v>51</v>
      </c>
      <c r="N524" s="3" t="s">
        <v>48</v>
      </c>
      <c r="O524" s="3" t="s">
        <v>15</v>
      </c>
    </row>
    <row r="525" spans="1:15" x14ac:dyDescent="0.25">
      <c r="A525" s="3">
        <v>13283</v>
      </c>
      <c r="B525" s="3" t="s">
        <v>36</v>
      </c>
      <c r="C525" s="3" t="s">
        <v>38</v>
      </c>
      <c r="D525" s="4">
        <v>80000</v>
      </c>
      <c r="E525" s="3">
        <v>3</v>
      </c>
      <c r="F525" s="3" t="s">
        <v>19</v>
      </c>
      <c r="G525" s="3" t="s">
        <v>21</v>
      </c>
      <c r="H525" s="3" t="s">
        <v>18</v>
      </c>
      <c r="I525" s="3">
        <v>2</v>
      </c>
      <c r="J525" s="3" t="s">
        <v>16</v>
      </c>
      <c r="K525" s="3" t="s">
        <v>32</v>
      </c>
      <c r="L525" s="3">
        <v>49</v>
      </c>
      <c r="M525" s="3" t="s">
        <v>51</v>
      </c>
      <c r="N525" s="3" t="s">
        <v>48</v>
      </c>
      <c r="O525" s="3" t="s">
        <v>15</v>
      </c>
    </row>
    <row r="526" spans="1:15" x14ac:dyDescent="0.25">
      <c r="A526" s="3">
        <v>17471</v>
      </c>
      <c r="B526" s="3" t="s">
        <v>37</v>
      </c>
      <c r="C526" s="3" t="s">
        <v>39</v>
      </c>
      <c r="D526" s="4">
        <v>80000</v>
      </c>
      <c r="E526" s="3">
        <v>4</v>
      </c>
      <c r="F526" s="3" t="s">
        <v>31</v>
      </c>
      <c r="G526" s="3" t="s">
        <v>28</v>
      </c>
      <c r="H526" s="3" t="s">
        <v>15</v>
      </c>
      <c r="I526" s="3">
        <v>2</v>
      </c>
      <c r="J526" s="3" t="s">
        <v>23</v>
      </c>
      <c r="K526" s="3" t="s">
        <v>32</v>
      </c>
      <c r="L526" s="3">
        <v>67</v>
      </c>
      <c r="M526" s="3" t="s">
        <v>54</v>
      </c>
      <c r="N526" s="3" t="s">
        <v>50</v>
      </c>
      <c r="O526" s="3" t="s">
        <v>18</v>
      </c>
    </row>
    <row r="527" spans="1:15" x14ac:dyDescent="0.25">
      <c r="A527" s="3">
        <v>16791</v>
      </c>
      <c r="B527" s="3" t="s">
        <v>37</v>
      </c>
      <c r="C527" s="3" t="s">
        <v>38</v>
      </c>
      <c r="D527" s="4">
        <v>60000</v>
      </c>
      <c r="E527" s="3">
        <v>5</v>
      </c>
      <c r="F527" s="3" t="s">
        <v>13</v>
      </c>
      <c r="G527" s="3" t="s">
        <v>28</v>
      </c>
      <c r="H527" s="3" t="s">
        <v>15</v>
      </c>
      <c r="I527" s="3">
        <v>3</v>
      </c>
      <c r="J527" s="3" t="s">
        <v>46</v>
      </c>
      <c r="K527" s="3" t="s">
        <v>32</v>
      </c>
      <c r="L527" s="3">
        <v>59</v>
      </c>
      <c r="M527" s="3" t="s">
        <v>54</v>
      </c>
      <c r="N527" s="3" t="s">
        <v>50</v>
      </c>
      <c r="O527" s="3" t="s">
        <v>15</v>
      </c>
    </row>
    <row r="528" spans="1:15" x14ac:dyDescent="0.25">
      <c r="A528" s="3">
        <v>15382</v>
      </c>
      <c r="B528" s="3" t="s">
        <v>36</v>
      </c>
      <c r="C528" s="3" t="s">
        <v>39</v>
      </c>
      <c r="D528" s="4">
        <v>110000</v>
      </c>
      <c r="E528" s="3">
        <v>1</v>
      </c>
      <c r="F528" s="3" t="s">
        <v>13</v>
      </c>
      <c r="G528" s="3" t="s">
        <v>28</v>
      </c>
      <c r="H528" s="3" t="s">
        <v>15</v>
      </c>
      <c r="I528" s="3">
        <v>2</v>
      </c>
      <c r="J528" s="3" t="s">
        <v>26</v>
      </c>
      <c r="K528" s="3" t="s">
        <v>32</v>
      </c>
      <c r="L528" s="3">
        <v>44</v>
      </c>
      <c r="M528" s="3" t="s">
        <v>53</v>
      </c>
      <c r="N528" s="3" t="s">
        <v>49</v>
      </c>
      <c r="O528" s="3" t="s">
        <v>18</v>
      </c>
    </row>
    <row r="529" spans="1:15" x14ac:dyDescent="0.25">
      <c r="A529" s="3">
        <v>11641</v>
      </c>
      <c r="B529" s="3" t="s">
        <v>36</v>
      </c>
      <c r="C529" s="3" t="s">
        <v>38</v>
      </c>
      <c r="D529" s="4">
        <v>50000</v>
      </c>
      <c r="E529" s="3">
        <v>1</v>
      </c>
      <c r="F529" s="3" t="s">
        <v>13</v>
      </c>
      <c r="G529" s="3" t="s">
        <v>14</v>
      </c>
      <c r="H529" s="3" t="s">
        <v>15</v>
      </c>
      <c r="I529" s="3">
        <v>0</v>
      </c>
      <c r="J529" s="3" t="s">
        <v>16</v>
      </c>
      <c r="K529" s="3" t="s">
        <v>32</v>
      </c>
      <c r="L529" s="3">
        <v>36</v>
      </c>
      <c r="M529" s="3" t="s">
        <v>53</v>
      </c>
      <c r="N529" s="3" t="s">
        <v>49</v>
      </c>
      <c r="O529" s="3" t="s">
        <v>18</v>
      </c>
    </row>
    <row r="530" spans="1:15" x14ac:dyDescent="0.25">
      <c r="A530" s="3">
        <v>11935</v>
      </c>
      <c r="B530" s="3" t="s">
        <v>37</v>
      </c>
      <c r="C530" s="3" t="s">
        <v>39</v>
      </c>
      <c r="D530" s="4">
        <v>30000</v>
      </c>
      <c r="E530" s="3">
        <v>0</v>
      </c>
      <c r="F530" s="3" t="s">
        <v>19</v>
      </c>
      <c r="G530" s="3" t="s">
        <v>14</v>
      </c>
      <c r="H530" s="3" t="s">
        <v>15</v>
      </c>
      <c r="I530" s="3">
        <v>1</v>
      </c>
      <c r="J530" s="3" t="s">
        <v>23</v>
      </c>
      <c r="K530" s="3" t="s">
        <v>32</v>
      </c>
      <c r="L530" s="3">
        <v>28</v>
      </c>
      <c r="M530" s="3" t="s">
        <v>53</v>
      </c>
      <c r="N530" s="3" t="s">
        <v>49</v>
      </c>
      <c r="O530" s="3" t="s">
        <v>18</v>
      </c>
    </row>
    <row r="531" spans="1:15" x14ac:dyDescent="0.25">
      <c r="A531" s="3">
        <v>13233</v>
      </c>
      <c r="B531" s="3" t="s">
        <v>36</v>
      </c>
      <c r="C531" s="3" t="s">
        <v>38</v>
      </c>
      <c r="D531" s="4">
        <v>60000</v>
      </c>
      <c r="E531" s="3">
        <v>2</v>
      </c>
      <c r="F531" s="3" t="s">
        <v>19</v>
      </c>
      <c r="G531" s="3" t="s">
        <v>21</v>
      </c>
      <c r="H531" s="3" t="s">
        <v>15</v>
      </c>
      <c r="I531" s="3">
        <v>1</v>
      </c>
      <c r="J531" s="3" t="s">
        <v>46</v>
      </c>
      <c r="K531" s="3" t="s">
        <v>32</v>
      </c>
      <c r="L531" s="3">
        <v>57</v>
      </c>
      <c r="M531" s="3" t="s">
        <v>54</v>
      </c>
      <c r="N531" s="3" t="s">
        <v>50</v>
      </c>
      <c r="O531" s="3" t="s">
        <v>15</v>
      </c>
    </row>
    <row r="532" spans="1:15" x14ac:dyDescent="0.25">
      <c r="A532" s="3">
        <v>25909</v>
      </c>
      <c r="B532" s="3" t="s">
        <v>36</v>
      </c>
      <c r="C532" s="3" t="s">
        <v>38</v>
      </c>
      <c r="D532" s="4">
        <v>60000</v>
      </c>
      <c r="E532" s="3">
        <v>0</v>
      </c>
      <c r="F532" s="3" t="s">
        <v>19</v>
      </c>
      <c r="G532" s="3" t="s">
        <v>14</v>
      </c>
      <c r="H532" s="3" t="s">
        <v>15</v>
      </c>
      <c r="I532" s="3">
        <v>1</v>
      </c>
      <c r="J532" s="3" t="s">
        <v>23</v>
      </c>
      <c r="K532" s="3" t="s">
        <v>32</v>
      </c>
      <c r="L532" s="3">
        <v>27</v>
      </c>
      <c r="M532" s="3" t="s">
        <v>53</v>
      </c>
      <c r="N532" s="3" t="s">
        <v>49</v>
      </c>
      <c r="O532" s="3" t="s">
        <v>15</v>
      </c>
    </row>
    <row r="533" spans="1:15" x14ac:dyDescent="0.25">
      <c r="A533" s="3">
        <v>14092</v>
      </c>
      <c r="B533" s="3" t="s">
        <v>37</v>
      </c>
      <c r="C533" s="3" t="s">
        <v>38</v>
      </c>
      <c r="D533" s="4">
        <v>30000</v>
      </c>
      <c r="E533" s="3">
        <v>0</v>
      </c>
      <c r="F533" s="3" t="s">
        <v>29</v>
      </c>
      <c r="G533" s="3" t="s">
        <v>20</v>
      </c>
      <c r="H533" s="3" t="s">
        <v>15</v>
      </c>
      <c r="I533" s="3">
        <v>2</v>
      </c>
      <c r="J533" s="3" t="s">
        <v>23</v>
      </c>
      <c r="K533" s="3" t="s">
        <v>32</v>
      </c>
      <c r="L533" s="3">
        <v>28</v>
      </c>
      <c r="M533" s="3" t="s">
        <v>53</v>
      </c>
      <c r="N533" s="3" t="s">
        <v>49</v>
      </c>
      <c r="O533" s="3" t="s">
        <v>18</v>
      </c>
    </row>
    <row r="534" spans="1:15" x14ac:dyDescent="0.25">
      <c r="A534" s="3">
        <v>29143</v>
      </c>
      <c r="B534" s="3" t="s">
        <v>37</v>
      </c>
      <c r="C534" s="3" t="s">
        <v>39</v>
      </c>
      <c r="D534" s="4">
        <v>60000</v>
      </c>
      <c r="E534" s="3">
        <v>1</v>
      </c>
      <c r="F534" s="3" t="s">
        <v>13</v>
      </c>
      <c r="G534" s="3" t="s">
        <v>21</v>
      </c>
      <c r="H534" s="3" t="s">
        <v>18</v>
      </c>
      <c r="I534" s="3">
        <v>1</v>
      </c>
      <c r="J534" s="3" t="s">
        <v>16</v>
      </c>
      <c r="K534" s="3" t="s">
        <v>32</v>
      </c>
      <c r="L534" s="3">
        <v>44</v>
      </c>
      <c r="M534" s="3" t="s">
        <v>53</v>
      </c>
      <c r="N534" s="3" t="s">
        <v>49</v>
      </c>
      <c r="O534" s="3" t="s">
        <v>15</v>
      </c>
    </row>
    <row r="535" spans="1:15" x14ac:dyDescent="0.25">
      <c r="A535" s="3">
        <v>24941</v>
      </c>
      <c r="B535" s="3" t="s">
        <v>36</v>
      </c>
      <c r="C535" s="3" t="s">
        <v>38</v>
      </c>
      <c r="D535" s="4">
        <v>60000</v>
      </c>
      <c r="E535" s="3">
        <v>3</v>
      </c>
      <c r="F535" s="3" t="s">
        <v>13</v>
      </c>
      <c r="G535" s="3" t="s">
        <v>28</v>
      </c>
      <c r="H535" s="3" t="s">
        <v>15</v>
      </c>
      <c r="I535" s="3">
        <v>2</v>
      </c>
      <c r="J535" s="3" t="s">
        <v>46</v>
      </c>
      <c r="K535" s="3" t="s">
        <v>32</v>
      </c>
      <c r="L535" s="3">
        <v>66</v>
      </c>
      <c r="M535" s="3" t="s">
        <v>54</v>
      </c>
      <c r="N535" s="3" t="s">
        <v>50</v>
      </c>
      <c r="O535" s="3" t="s">
        <v>18</v>
      </c>
    </row>
    <row r="536" spans="1:15" x14ac:dyDescent="0.25">
      <c r="A536" s="3">
        <v>24637</v>
      </c>
      <c r="B536" s="3" t="s">
        <v>36</v>
      </c>
      <c r="C536" s="3" t="s">
        <v>38</v>
      </c>
      <c r="D536" s="4">
        <v>40000</v>
      </c>
      <c r="E536" s="3">
        <v>4</v>
      </c>
      <c r="F536" s="3" t="s">
        <v>27</v>
      </c>
      <c r="G536" s="3" t="s">
        <v>21</v>
      </c>
      <c r="H536" s="3" t="s">
        <v>15</v>
      </c>
      <c r="I536" s="3">
        <v>2</v>
      </c>
      <c r="J536" s="3" t="s">
        <v>46</v>
      </c>
      <c r="K536" s="3" t="s">
        <v>32</v>
      </c>
      <c r="L536" s="3">
        <v>64</v>
      </c>
      <c r="M536" s="3" t="s">
        <v>54</v>
      </c>
      <c r="N536" s="3" t="s">
        <v>50</v>
      </c>
      <c r="O536" s="3" t="s">
        <v>18</v>
      </c>
    </row>
    <row r="537" spans="1:15" x14ac:dyDescent="0.25">
      <c r="A537" s="3">
        <v>23893</v>
      </c>
      <c r="B537" s="3" t="s">
        <v>36</v>
      </c>
      <c r="C537" s="3" t="s">
        <v>38</v>
      </c>
      <c r="D537" s="4">
        <v>50000</v>
      </c>
      <c r="E537" s="3">
        <v>3</v>
      </c>
      <c r="F537" s="3" t="s">
        <v>13</v>
      </c>
      <c r="G537" s="3" t="s">
        <v>14</v>
      </c>
      <c r="H537" s="3" t="s">
        <v>15</v>
      </c>
      <c r="I537" s="3">
        <v>3</v>
      </c>
      <c r="J537" s="3" t="s">
        <v>46</v>
      </c>
      <c r="K537" s="3" t="s">
        <v>32</v>
      </c>
      <c r="L537" s="3">
        <v>41</v>
      </c>
      <c r="M537" s="3" t="s">
        <v>53</v>
      </c>
      <c r="N537" s="3" t="s">
        <v>49</v>
      </c>
      <c r="O537" s="3" t="s">
        <v>18</v>
      </c>
    </row>
    <row r="538" spans="1:15" x14ac:dyDescent="0.25">
      <c r="A538" s="3">
        <v>13907</v>
      </c>
      <c r="B538" s="3" t="s">
        <v>37</v>
      </c>
      <c r="C538" s="3" t="s">
        <v>39</v>
      </c>
      <c r="D538" s="4">
        <v>80000</v>
      </c>
      <c r="E538" s="3">
        <v>3</v>
      </c>
      <c r="F538" s="3" t="s">
        <v>13</v>
      </c>
      <c r="G538" s="3" t="s">
        <v>14</v>
      </c>
      <c r="H538" s="3" t="s">
        <v>15</v>
      </c>
      <c r="I538" s="3">
        <v>1</v>
      </c>
      <c r="J538" s="3" t="s">
        <v>16</v>
      </c>
      <c r="K538" s="3" t="s">
        <v>32</v>
      </c>
      <c r="L538" s="3">
        <v>41</v>
      </c>
      <c r="M538" s="3" t="s">
        <v>53</v>
      </c>
      <c r="N538" s="3" t="s">
        <v>49</v>
      </c>
      <c r="O538" s="3" t="s">
        <v>15</v>
      </c>
    </row>
    <row r="539" spans="1:15" x14ac:dyDescent="0.25">
      <c r="A539" s="3">
        <v>14900</v>
      </c>
      <c r="B539" s="3" t="s">
        <v>36</v>
      </c>
      <c r="C539" s="3" t="s">
        <v>39</v>
      </c>
      <c r="D539" s="4">
        <v>40000</v>
      </c>
      <c r="E539" s="3">
        <v>1</v>
      </c>
      <c r="F539" s="3" t="s">
        <v>19</v>
      </c>
      <c r="G539" s="3" t="s">
        <v>20</v>
      </c>
      <c r="H539" s="3" t="s">
        <v>15</v>
      </c>
      <c r="I539" s="3">
        <v>1</v>
      </c>
      <c r="J539" s="3" t="s">
        <v>26</v>
      </c>
      <c r="K539" s="3" t="s">
        <v>32</v>
      </c>
      <c r="L539" s="3">
        <v>49</v>
      </c>
      <c r="M539" s="3" t="s">
        <v>51</v>
      </c>
      <c r="N539" s="3" t="s">
        <v>48</v>
      </c>
      <c r="O539" s="3" t="s">
        <v>15</v>
      </c>
    </row>
    <row r="540" spans="1:15" x14ac:dyDescent="0.25">
      <c r="A540" s="3">
        <v>11262</v>
      </c>
      <c r="B540" s="3" t="s">
        <v>36</v>
      </c>
      <c r="C540" s="3" t="s">
        <v>39</v>
      </c>
      <c r="D540" s="4">
        <v>80000</v>
      </c>
      <c r="E540" s="3">
        <v>4</v>
      </c>
      <c r="F540" s="3" t="s">
        <v>13</v>
      </c>
      <c r="G540" s="3" t="s">
        <v>28</v>
      </c>
      <c r="H540" s="3" t="s">
        <v>15</v>
      </c>
      <c r="I540" s="3">
        <v>0</v>
      </c>
      <c r="J540" s="3" t="s">
        <v>16</v>
      </c>
      <c r="K540" s="3" t="s">
        <v>32</v>
      </c>
      <c r="L540" s="3">
        <v>42</v>
      </c>
      <c r="M540" s="3" t="s">
        <v>53</v>
      </c>
      <c r="N540" s="3" t="s">
        <v>49</v>
      </c>
      <c r="O540" s="3" t="s">
        <v>18</v>
      </c>
    </row>
    <row r="541" spans="1:15" x14ac:dyDescent="0.25">
      <c r="A541" s="3">
        <v>22294</v>
      </c>
      <c r="B541" s="3" t="s">
        <v>37</v>
      </c>
      <c r="C541" s="3" t="s">
        <v>39</v>
      </c>
      <c r="D541" s="4">
        <v>70000</v>
      </c>
      <c r="E541" s="3">
        <v>0</v>
      </c>
      <c r="F541" s="3" t="s">
        <v>13</v>
      </c>
      <c r="G541" s="3" t="s">
        <v>21</v>
      </c>
      <c r="H541" s="3" t="s">
        <v>18</v>
      </c>
      <c r="I541" s="3">
        <v>1</v>
      </c>
      <c r="J541" s="3" t="s">
        <v>22</v>
      </c>
      <c r="K541" s="3" t="s">
        <v>32</v>
      </c>
      <c r="L541" s="3">
        <v>37</v>
      </c>
      <c r="M541" s="3" t="s">
        <v>53</v>
      </c>
      <c r="N541" s="3" t="s">
        <v>49</v>
      </c>
      <c r="O541" s="3" t="s">
        <v>15</v>
      </c>
    </row>
    <row r="542" spans="1:15" x14ac:dyDescent="0.25">
      <c r="A542" s="3">
        <v>12195</v>
      </c>
      <c r="B542" s="3" t="s">
        <v>37</v>
      </c>
      <c r="C542" s="3" t="s">
        <v>39</v>
      </c>
      <c r="D542" s="4">
        <v>70000</v>
      </c>
      <c r="E542" s="3">
        <v>3</v>
      </c>
      <c r="F542" s="3" t="s">
        <v>31</v>
      </c>
      <c r="G542" s="3" t="s">
        <v>28</v>
      </c>
      <c r="H542" s="3" t="s">
        <v>15</v>
      </c>
      <c r="I542" s="3">
        <v>2</v>
      </c>
      <c r="J542" s="3" t="s">
        <v>26</v>
      </c>
      <c r="K542" s="3" t="s">
        <v>32</v>
      </c>
      <c r="L542" s="3">
        <v>52</v>
      </c>
      <c r="M542" s="3" t="s">
        <v>51</v>
      </c>
      <c r="N542" s="3" t="s">
        <v>48</v>
      </c>
      <c r="O542" s="3" t="s">
        <v>18</v>
      </c>
    </row>
    <row r="543" spans="1:15" x14ac:dyDescent="0.25">
      <c r="A543" s="3">
        <v>25375</v>
      </c>
      <c r="B543" s="3" t="s">
        <v>36</v>
      </c>
      <c r="C543" s="3" t="s">
        <v>38</v>
      </c>
      <c r="D543" s="4">
        <v>50000</v>
      </c>
      <c r="E543" s="3">
        <v>1</v>
      </c>
      <c r="F543" s="3" t="s">
        <v>31</v>
      </c>
      <c r="G543" s="3" t="s">
        <v>14</v>
      </c>
      <c r="H543" s="3" t="s">
        <v>15</v>
      </c>
      <c r="I543" s="3">
        <v>0</v>
      </c>
      <c r="J543" s="3" t="s">
        <v>26</v>
      </c>
      <c r="K543" s="3" t="s">
        <v>32</v>
      </c>
      <c r="L543" s="3">
        <v>34</v>
      </c>
      <c r="M543" s="3" t="s">
        <v>53</v>
      </c>
      <c r="N543" s="3" t="s">
        <v>49</v>
      </c>
      <c r="O543" s="3" t="s">
        <v>18</v>
      </c>
    </row>
    <row r="544" spans="1:15" x14ac:dyDescent="0.25">
      <c r="A544" s="3">
        <v>11143</v>
      </c>
      <c r="B544" s="3" t="s">
        <v>36</v>
      </c>
      <c r="C544" s="3" t="s">
        <v>38</v>
      </c>
      <c r="D544" s="4">
        <v>40000</v>
      </c>
      <c r="E544" s="3">
        <v>0</v>
      </c>
      <c r="F544" s="3" t="s">
        <v>27</v>
      </c>
      <c r="G544" s="3" t="s">
        <v>14</v>
      </c>
      <c r="H544" s="3" t="s">
        <v>15</v>
      </c>
      <c r="I544" s="3">
        <v>2</v>
      </c>
      <c r="J544" s="3" t="s">
        <v>23</v>
      </c>
      <c r="K544" s="3" t="s">
        <v>32</v>
      </c>
      <c r="L544" s="3">
        <v>29</v>
      </c>
      <c r="M544" s="3" t="s">
        <v>53</v>
      </c>
      <c r="N544" s="3" t="s">
        <v>49</v>
      </c>
      <c r="O544" s="3" t="s">
        <v>18</v>
      </c>
    </row>
    <row r="545" spans="1:15" x14ac:dyDescent="0.25">
      <c r="A545" s="3">
        <v>25898</v>
      </c>
      <c r="B545" s="3" t="s">
        <v>36</v>
      </c>
      <c r="C545" s="3" t="s">
        <v>39</v>
      </c>
      <c r="D545" s="4">
        <v>70000</v>
      </c>
      <c r="E545" s="3">
        <v>2</v>
      </c>
      <c r="F545" s="3" t="s">
        <v>27</v>
      </c>
      <c r="G545" s="3" t="s">
        <v>21</v>
      </c>
      <c r="H545" s="3" t="s">
        <v>15</v>
      </c>
      <c r="I545" s="3">
        <v>2</v>
      </c>
      <c r="J545" s="3" t="s">
        <v>22</v>
      </c>
      <c r="K545" s="3" t="s">
        <v>32</v>
      </c>
      <c r="L545" s="3">
        <v>53</v>
      </c>
      <c r="M545" s="3" t="s">
        <v>51</v>
      </c>
      <c r="N545" s="3" t="s">
        <v>48</v>
      </c>
      <c r="O545" s="3" t="s">
        <v>18</v>
      </c>
    </row>
    <row r="546" spans="1:15" x14ac:dyDescent="0.25">
      <c r="A546" s="3">
        <v>24397</v>
      </c>
      <c r="B546" s="3" t="s">
        <v>37</v>
      </c>
      <c r="C546" s="3" t="s">
        <v>38</v>
      </c>
      <c r="D546" s="4">
        <v>120000</v>
      </c>
      <c r="E546" s="3">
        <v>2</v>
      </c>
      <c r="F546" s="3" t="s">
        <v>13</v>
      </c>
      <c r="G546" s="3" t="s">
        <v>28</v>
      </c>
      <c r="H546" s="3" t="s">
        <v>18</v>
      </c>
      <c r="I546" s="3">
        <v>4</v>
      </c>
      <c r="J546" s="3" t="s">
        <v>26</v>
      </c>
      <c r="K546" s="3" t="s">
        <v>32</v>
      </c>
      <c r="L546" s="3">
        <v>40</v>
      </c>
      <c r="M546" s="3" t="s">
        <v>53</v>
      </c>
      <c r="N546" s="3" t="s">
        <v>49</v>
      </c>
      <c r="O546" s="3" t="s">
        <v>18</v>
      </c>
    </row>
    <row r="547" spans="1:15" x14ac:dyDescent="0.25">
      <c r="A547" s="3">
        <v>19758</v>
      </c>
      <c r="B547" s="3" t="s">
        <v>37</v>
      </c>
      <c r="C547" s="3" t="s">
        <v>38</v>
      </c>
      <c r="D547" s="4">
        <v>60000</v>
      </c>
      <c r="E547" s="3">
        <v>0</v>
      </c>
      <c r="F547" s="3" t="s">
        <v>19</v>
      </c>
      <c r="G547" s="3" t="s">
        <v>14</v>
      </c>
      <c r="H547" s="3" t="s">
        <v>18</v>
      </c>
      <c r="I547" s="3">
        <v>2</v>
      </c>
      <c r="J547" s="3" t="s">
        <v>26</v>
      </c>
      <c r="K547" s="3" t="s">
        <v>32</v>
      </c>
      <c r="L547" s="3">
        <v>29</v>
      </c>
      <c r="M547" s="3" t="s">
        <v>53</v>
      </c>
      <c r="N547" s="3" t="s">
        <v>49</v>
      </c>
      <c r="O547" s="3" t="s">
        <v>18</v>
      </c>
    </row>
    <row r="548" spans="1:15" x14ac:dyDescent="0.25">
      <c r="A548" s="3">
        <v>15529</v>
      </c>
      <c r="B548" s="3" t="s">
        <v>36</v>
      </c>
      <c r="C548" s="3" t="s">
        <v>38</v>
      </c>
      <c r="D548" s="4">
        <v>60000</v>
      </c>
      <c r="E548" s="3">
        <v>4</v>
      </c>
      <c r="F548" s="3" t="s">
        <v>13</v>
      </c>
      <c r="G548" s="3" t="s">
        <v>21</v>
      </c>
      <c r="H548" s="3" t="s">
        <v>15</v>
      </c>
      <c r="I548" s="3">
        <v>2</v>
      </c>
      <c r="J548" s="3" t="s">
        <v>22</v>
      </c>
      <c r="K548" s="3" t="s">
        <v>32</v>
      </c>
      <c r="L548" s="3">
        <v>43</v>
      </c>
      <c r="M548" s="3" t="s">
        <v>53</v>
      </c>
      <c r="N548" s="3" t="s">
        <v>49</v>
      </c>
      <c r="O548" s="3" t="s">
        <v>15</v>
      </c>
    </row>
    <row r="549" spans="1:15" x14ac:dyDescent="0.25">
      <c r="A549" s="3">
        <v>19884</v>
      </c>
      <c r="B549" s="3" t="s">
        <v>36</v>
      </c>
      <c r="C549" s="3" t="s">
        <v>38</v>
      </c>
      <c r="D549" s="4">
        <v>60000</v>
      </c>
      <c r="E549" s="3">
        <v>2</v>
      </c>
      <c r="F549" s="3" t="s">
        <v>27</v>
      </c>
      <c r="G549" s="3" t="s">
        <v>21</v>
      </c>
      <c r="H549" s="3" t="s">
        <v>15</v>
      </c>
      <c r="I549" s="3">
        <v>2</v>
      </c>
      <c r="J549" s="3" t="s">
        <v>22</v>
      </c>
      <c r="K549" s="3" t="s">
        <v>32</v>
      </c>
      <c r="L549" s="3">
        <v>55</v>
      </c>
      <c r="M549" s="3" t="s">
        <v>52</v>
      </c>
      <c r="N549" s="3" t="s">
        <v>47</v>
      </c>
      <c r="O549" s="3" t="s">
        <v>15</v>
      </c>
    </row>
    <row r="550" spans="1:15" x14ac:dyDescent="0.25">
      <c r="A550" s="3">
        <v>18674</v>
      </c>
      <c r="B550" s="3" t="s">
        <v>37</v>
      </c>
      <c r="C550" s="3" t="s">
        <v>39</v>
      </c>
      <c r="D550" s="4">
        <v>80000</v>
      </c>
      <c r="E550" s="3">
        <v>4</v>
      </c>
      <c r="F550" s="3" t="s">
        <v>31</v>
      </c>
      <c r="G550" s="3" t="s">
        <v>14</v>
      </c>
      <c r="H550" s="3" t="s">
        <v>18</v>
      </c>
      <c r="I550" s="3">
        <v>0</v>
      </c>
      <c r="J550" s="3" t="s">
        <v>16</v>
      </c>
      <c r="K550" s="3" t="s">
        <v>32</v>
      </c>
      <c r="L550" s="3">
        <v>48</v>
      </c>
      <c r="M550" s="3" t="s">
        <v>51</v>
      </c>
      <c r="N550" s="3" t="s">
        <v>48</v>
      </c>
      <c r="O550" s="3" t="s">
        <v>18</v>
      </c>
    </row>
    <row r="551" spans="1:15" x14ac:dyDescent="0.25">
      <c r="A551" s="3">
        <v>13453</v>
      </c>
      <c r="B551" s="3" t="s">
        <v>36</v>
      </c>
      <c r="C551" s="3" t="s">
        <v>39</v>
      </c>
      <c r="D551" s="4">
        <v>130000</v>
      </c>
      <c r="E551" s="3">
        <v>3</v>
      </c>
      <c r="F551" s="3" t="s">
        <v>13</v>
      </c>
      <c r="G551" s="3" t="s">
        <v>28</v>
      </c>
      <c r="H551" s="3" t="s">
        <v>15</v>
      </c>
      <c r="I551" s="3">
        <v>3</v>
      </c>
      <c r="J551" s="3" t="s">
        <v>16</v>
      </c>
      <c r="K551" s="3" t="s">
        <v>32</v>
      </c>
      <c r="L551" s="3">
        <v>45</v>
      </c>
      <c r="M551" s="3" t="s">
        <v>51</v>
      </c>
      <c r="N551" s="3" t="s">
        <v>48</v>
      </c>
      <c r="O551" s="3" t="s">
        <v>15</v>
      </c>
    </row>
    <row r="552" spans="1:15" x14ac:dyDescent="0.25">
      <c r="A552" s="3">
        <v>14063</v>
      </c>
      <c r="B552" s="3" t="s">
        <v>37</v>
      </c>
      <c r="C552" s="3" t="s">
        <v>39</v>
      </c>
      <c r="D552" s="4">
        <v>70000</v>
      </c>
      <c r="E552" s="3">
        <v>0</v>
      </c>
      <c r="F552" s="3" t="s">
        <v>13</v>
      </c>
      <c r="G552" s="3" t="s">
        <v>21</v>
      </c>
      <c r="H552" s="3" t="s">
        <v>18</v>
      </c>
      <c r="I552" s="3">
        <v>1</v>
      </c>
      <c r="J552" s="3" t="s">
        <v>16</v>
      </c>
      <c r="K552" s="3" t="s">
        <v>24</v>
      </c>
      <c r="L552" s="3">
        <v>42</v>
      </c>
      <c r="M552" s="3" t="s">
        <v>53</v>
      </c>
      <c r="N552" s="3" t="s">
        <v>49</v>
      </c>
      <c r="O552" s="3" t="s">
        <v>15</v>
      </c>
    </row>
    <row r="553" spans="1:15" x14ac:dyDescent="0.25">
      <c r="A553" s="3">
        <v>27393</v>
      </c>
      <c r="B553" s="3" t="s">
        <v>36</v>
      </c>
      <c r="C553" s="3" t="s">
        <v>39</v>
      </c>
      <c r="D553" s="4">
        <v>50000</v>
      </c>
      <c r="E553" s="3">
        <v>4</v>
      </c>
      <c r="F553" s="3" t="s">
        <v>13</v>
      </c>
      <c r="G553" s="3" t="s">
        <v>28</v>
      </c>
      <c r="H553" s="3" t="s">
        <v>15</v>
      </c>
      <c r="I553" s="3">
        <v>2</v>
      </c>
      <c r="J553" s="3" t="s">
        <v>46</v>
      </c>
      <c r="K553" s="3" t="s">
        <v>32</v>
      </c>
      <c r="L553" s="3">
        <v>63</v>
      </c>
      <c r="M553" s="3" t="s">
        <v>54</v>
      </c>
      <c r="N553" s="3" t="s">
        <v>50</v>
      </c>
      <c r="O553" s="3" t="s">
        <v>18</v>
      </c>
    </row>
    <row r="554" spans="1:15" x14ac:dyDescent="0.25">
      <c r="A554" s="3">
        <v>14417</v>
      </c>
      <c r="B554" s="3" t="s">
        <v>37</v>
      </c>
      <c r="C554" s="3" t="s">
        <v>38</v>
      </c>
      <c r="D554" s="4">
        <v>60000</v>
      </c>
      <c r="E554" s="3">
        <v>3</v>
      </c>
      <c r="F554" s="3" t="s">
        <v>27</v>
      </c>
      <c r="G554" s="3" t="s">
        <v>21</v>
      </c>
      <c r="H554" s="3" t="s">
        <v>15</v>
      </c>
      <c r="I554" s="3">
        <v>2</v>
      </c>
      <c r="J554" s="3" t="s">
        <v>46</v>
      </c>
      <c r="K554" s="3" t="s">
        <v>32</v>
      </c>
      <c r="L554" s="3">
        <v>54</v>
      </c>
      <c r="M554" s="3" t="s">
        <v>51</v>
      </c>
      <c r="N554" s="3" t="s">
        <v>48</v>
      </c>
      <c r="O554" s="3" t="s">
        <v>15</v>
      </c>
    </row>
    <row r="555" spans="1:15" x14ac:dyDescent="0.25">
      <c r="A555" s="3">
        <v>17533</v>
      </c>
      <c r="B555" s="3" t="s">
        <v>36</v>
      </c>
      <c r="C555" s="3" t="s">
        <v>38</v>
      </c>
      <c r="D555" s="4">
        <v>40000</v>
      </c>
      <c r="E555" s="3">
        <v>3</v>
      </c>
      <c r="F555" s="3" t="s">
        <v>19</v>
      </c>
      <c r="G555" s="3" t="s">
        <v>21</v>
      </c>
      <c r="H555" s="3" t="s">
        <v>18</v>
      </c>
      <c r="I555" s="3">
        <v>2</v>
      </c>
      <c r="J555" s="3" t="s">
        <v>23</v>
      </c>
      <c r="K555" s="3" t="s">
        <v>32</v>
      </c>
      <c r="L555" s="3">
        <v>73</v>
      </c>
      <c r="M555" s="3" t="s">
        <v>54</v>
      </c>
      <c r="N555" s="3" t="s">
        <v>50</v>
      </c>
      <c r="O555" s="3" t="s">
        <v>15</v>
      </c>
    </row>
    <row r="556" spans="1:15" x14ac:dyDescent="0.25">
      <c r="A556" s="3">
        <v>18580</v>
      </c>
      <c r="B556" s="3" t="s">
        <v>36</v>
      </c>
      <c r="C556" s="3" t="s">
        <v>39</v>
      </c>
      <c r="D556" s="4">
        <v>60000</v>
      </c>
      <c r="E556" s="3">
        <v>2</v>
      </c>
      <c r="F556" s="3" t="s">
        <v>31</v>
      </c>
      <c r="G556" s="3" t="s">
        <v>21</v>
      </c>
      <c r="H556" s="3" t="s">
        <v>15</v>
      </c>
      <c r="I556" s="3">
        <v>0</v>
      </c>
      <c r="J556" s="3" t="s">
        <v>22</v>
      </c>
      <c r="K556" s="3" t="s">
        <v>32</v>
      </c>
      <c r="L556" s="3">
        <v>40</v>
      </c>
      <c r="M556" s="3" t="s">
        <v>53</v>
      </c>
      <c r="N556" s="3" t="s">
        <v>49</v>
      </c>
      <c r="O556" s="3" t="s">
        <v>15</v>
      </c>
    </row>
    <row r="557" spans="1:15" x14ac:dyDescent="0.25">
      <c r="A557" s="3">
        <v>17025</v>
      </c>
      <c r="B557" s="3" t="s">
        <v>37</v>
      </c>
      <c r="C557" s="3" t="s">
        <v>38</v>
      </c>
      <c r="D557" s="4">
        <v>50000</v>
      </c>
      <c r="E557" s="3">
        <v>0</v>
      </c>
      <c r="F557" s="3" t="s">
        <v>19</v>
      </c>
      <c r="G557" s="3" t="s">
        <v>14</v>
      </c>
      <c r="H557" s="3" t="s">
        <v>18</v>
      </c>
      <c r="I557" s="3">
        <v>1</v>
      </c>
      <c r="J557" s="3" t="s">
        <v>22</v>
      </c>
      <c r="K557" s="3" t="s">
        <v>32</v>
      </c>
      <c r="L557" s="3">
        <v>39</v>
      </c>
      <c r="M557" s="3" t="s">
        <v>53</v>
      </c>
      <c r="N557" s="3" t="s">
        <v>49</v>
      </c>
      <c r="O557" s="3" t="s">
        <v>15</v>
      </c>
    </row>
    <row r="558" spans="1:15" x14ac:dyDescent="0.25">
      <c r="A558" s="3">
        <v>25293</v>
      </c>
      <c r="B558" s="3" t="s">
        <v>36</v>
      </c>
      <c r="C558" s="3" t="s">
        <v>38</v>
      </c>
      <c r="D558" s="4">
        <v>80000</v>
      </c>
      <c r="E558" s="3">
        <v>4</v>
      </c>
      <c r="F558" s="3" t="s">
        <v>13</v>
      </c>
      <c r="G558" s="3" t="s">
        <v>28</v>
      </c>
      <c r="H558" s="3" t="s">
        <v>15</v>
      </c>
      <c r="I558" s="3">
        <v>0</v>
      </c>
      <c r="J558" s="3" t="s">
        <v>26</v>
      </c>
      <c r="K558" s="3" t="s">
        <v>32</v>
      </c>
      <c r="L558" s="3">
        <v>42</v>
      </c>
      <c r="M558" s="3" t="s">
        <v>53</v>
      </c>
      <c r="N558" s="3" t="s">
        <v>49</v>
      </c>
      <c r="O558" s="3" t="s">
        <v>18</v>
      </c>
    </row>
    <row r="559" spans="1:15" x14ac:dyDescent="0.25">
      <c r="A559" s="3">
        <v>24725</v>
      </c>
      <c r="B559" s="3" t="s">
        <v>36</v>
      </c>
      <c r="C559" s="3" t="s">
        <v>39</v>
      </c>
      <c r="D559" s="4">
        <v>40000</v>
      </c>
      <c r="E559" s="3">
        <v>3</v>
      </c>
      <c r="F559" s="3" t="s">
        <v>19</v>
      </c>
      <c r="G559" s="3" t="s">
        <v>20</v>
      </c>
      <c r="H559" s="3" t="s">
        <v>15</v>
      </c>
      <c r="I559" s="3">
        <v>0</v>
      </c>
      <c r="J559" s="3" t="s">
        <v>26</v>
      </c>
      <c r="K559" s="3" t="s">
        <v>32</v>
      </c>
      <c r="L559" s="3">
        <v>31</v>
      </c>
      <c r="M559" s="3" t="s">
        <v>53</v>
      </c>
      <c r="N559" s="3" t="s">
        <v>49</v>
      </c>
      <c r="O559" s="3" t="s">
        <v>18</v>
      </c>
    </row>
    <row r="560" spans="1:15" x14ac:dyDescent="0.25">
      <c r="A560" s="3">
        <v>23200</v>
      </c>
      <c r="B560" s="3" t="s">
        <v>36</v>
      </c>
      <c r="C560" s="3" t="s">
        <v>39</v>
      </c>
      <c r="D560" s="4">
        <v>50000</v>
      </c>
      <c r="E560" s="3">
        <v>3</v>
      </c>
      <c r="F560" s="3" t="s">
        <v>13</v>
      </c>
      <c r="G560" s="3" t="s">
        <v>14</v>
      </c>
      <c r="H560" s="3" t="s">
        <v>15</v>
      </c>
      <c r="I560" s="3">
        <v>2</v>
      </c>
      <c r="J560" s="3" t="s">
        <v>16</v>
      </c>
      <c r="K560" s="3" t="s">
        <v>32</v>
      </c>
      <c r="L560" s="3">
        <v>41</v>
      </c>
      <c r="M560" s="3" t="s">
        <v>53</v>
      </c>
      <c r="N560" s="3" t="s">
        <v>49</v>
      </c>
      <c r="O560" s="3" t="s">
        <v>18</v>
      </c>
    </row>
    <row r="561" spans="1:15" x14ac:dyDescent="0.25">
      <c r="A561" s="3">
        <v>15895</v>
      </c>
      <c r="B561" s="3" t="s">
        <v>37</v>
      </c>
      <c r="C561" s="3" t="s">
        <v>39</v>
      </c>
      <c r="D561" s="4">
        <v>60000</v>
      </c>
      <c r="E561" s="3">
        <v>2</v>
      </c>
      <c r="F561" s="3" t="s">
        <v>13</v>
      </c>
      <c r="G561" s="3" t="s">
        <v>28</v>
      </c>
      <c r="H561" s="3" t="s">
        <v>15</v>
      </c>
      <c r="I561" s="3">
        <v>0</v>
      </c>
      <c r="J561" s="3" t="s">
        <v>46</v>
      </c>
      <c r="K561" s="3" t="s">
        <v>32</v>
      </c>
      <c r="L561" s="3">
        <v>58</v>
      </c>
      <c r="M561" s="3" t="s">
        <v>54</v>
      </c>
      <c r="N561" s="3" t="s">
        <v>50</v>
      </c>
      <c r="O561" s="3" t="s">
        <v>18</v>
      </c>
    </row>
    <row r="562" spans="1:15" x14ac:dyDescent="0.25">
      <c r="A562" s="3">
        <v>18577</v>
      </c>
      <c r="B562" s="3" t="s">
        <v>36</v>
      </c>
      <c r="C562" s="3" t="s">
        <v>39</v>
      </c>
      <c r="D562" s="4">
        <v>60000</v>
      </c>
      <c r="E562" s="3">
        <v>0</v>
      </c>
      <c r="F562" s="3" t="s">
        <v>31</v>
      </c>
      <c r="G562" s="3" t="s">
        <v>21</v>
      </c>
      <c r="H562" s="3" t="s">
        <v>15</v>
      </c>
      <c r="I562" s="3">
        <v>0</v>
      </c>
      <c r="J562" s="3" t="s">
        <v>16</v>
      </c>
      <c r="K562" s="3" t="s">
        <v>32</v>
      </c>
      <c r="L562" s="3">
        <v>40</v>
      </c>
      <c r="M562" s="3" t="s">
        <v>53</v>
      </c>
      <c r="N562" s="3" t="s">
        <v>49</v>
      </c>
      <c r="O562" s="3" t="s">
        <v>18</v>
      </c>
    </row>
    <row r="563" spans="1:15" x14ac:dyDescent="0.25">
      <c r="A563" s="3">
        <v>27218</v>
      </c>
      <c r="B563" s="3" t="s">
        <v>36</v>
      </c>
      <c r="C563" s="3" t="s">
        <v>39</v>
      </c>
      <c r="D563" s="4">
        <v>20000</v>
      </c>
      <c r="E563" s="3">
        <v>2</v>
      </c>
      <c r="F563" s="3" t="s">
        <v>29</v>
      </c>
      <c r="G563" s="3" t="s">
        <v>20</v>
      </c>
      <c r="H563" s="3" t="s">
        <v>18</v>
      </c>
      <c r="I563" s="3">
        <v>0</v>
      </c>
      <c r="J563" s="3" t="s">
        <v>16</v>
      </c>
      <c r="K563" s="3" t="s">
        <v>32</v>
      </c>
      <c r="L563" s="3">
        <v>48</v>
      </c>
      <c r="M563" s="3" t="s">
        <v>51</v>
      </c>
      <c r="N563" s="3" t="s">
        <v>48</v>
      </c>
      <c r="O563" s="3" t="s">
        <v>18</v>
      </c>
    </row>
    <row r="564" spans="1:15" x14ac:dyDescent="0.25">
      <c r="A564" s="3">
        <v>18560</v>
      </c>
      <c r="B564" s="3" t="s">
        <v>36</v>
      </c>
      <c r="C564" s="3" t="s">
        <v>39</v>
      </c>
      <c r="D564" s="4">
        <v>70000</v>
      </c>
      <c r="E564" s="3">
        <v>2</v>
      </c>
      <c r="F564" s="3" t="s">
        <v>31</v>
      </c>
      <c r="G564" s="3" t="s">
        <v>21</v>
      </c>
      <c r="H564" s="3" t="s">
        <v>15</v>
      </c>
      <c r="I564" s="3">
        <v>0</v>
      </c>
      <c r="J564" s="3" t="s">
        <v>22</v>
      </c>
      <c r="K564" s="3" t="s">
        <v>32</v>
      </c>
      <c r="L564" s="3">
        <v>34</v>
      </c>
      <c r="M564" s="3" t="s">
        <v>53</v>
      </c>
      <c r="N564" s="3" t="s">
        <v>49</v>
      </c>
      <c r="O564" s="3" t="s">
        <v>15</v>
      </c>
    </row>
    <row r="565" spans="1:15" x14ac:dyDescent="0.25">
      <c r="A565" s="3">
        <v>25006</v>
      </c>
      <c r="B565" s="3" t="s">
        <v>37</v>
      </c>
      <c r="C565" s="3" t="s">
        <v>39</v>
      </c>
      <c r="D565" s="4">
        <v>30000</v>
      </c>
      <c r="E565" s="3">
        <v>0</v>
      </c>
      <c r="F565" s="3" t="s">
        <v>19</v>
      </c>
      <c r="G565" s="3" t="s">
        <v>14</v>
      </c>
      <c r="H565" s="3" t="s">
        <v>15</v>
      </c>
      <c r="I565" s="3">
        <v>1</v>
      </c>
      <c r="J565" s="3" t="s">
        <v>23</v>
      </c>
      <c r="K565" s="3" t="s">
        <v>32</v>
      </c>
      <c r="L565" s="3">
        <v>28</v>
      </c>
      <c r="M565" s="3" t="s">
        <v>53</v>
      </c>
      <c r="N565" s="3" t="s">
        <v>49</v>
      </c>
      <c r="O565" s="3" t="s">
        <v>18</v>
      </c>
    </row>
    <row r="566" spans="1:15" x14ac:dyDescent="0.25">
      <c r="A566" s="3">
        <v>17369</v>
      </c>
      <c r="B566" s="3" t="s">
        <v>37</v>
      </c>
      <c r="C566" s="3" t="s">
        <v>38</v>
      </c>
      <c r="D566" s="4">
        <v>30000</v>
      </c>
      <c r="E566" s="3">
        <v>0</v>
      </c>
      <c r="F566" s="3" t="s">
        <v>19</v>
      </c>
      <c r="G566" s="3" t="s">
        <v>14</v>
      </c>
      <c r="H566" s="3" t="s">
        <v>15</v>
      </c>
      <c r="I566" s="3">
        <v>1</v>
      </c>
      <c r="J566" s="3" t="s">
        <v>23</v>
      </c>
      <c r="K566" s="3" t="s">
        <v>32</v>
      </c>
      <c r="L566" s="3">
        <v>27</v>
      </c>
      <c r="M566" s="3" t="s">
        <v>53</v>
      </c>
      <c r="N566" s="3" t="s">
        <v>49</v>
      </c>
      <c r="O566" s="3" t="s">
        <v>18</v>
      </c>
    </row>
    <row r="567" spans="1:15" x14ac:dyDescent="0.25">
      <c r="A567" s="3">
        <v>14495</v>
      </c>
      <c r="B567" s="3" t="s">
        <v>36</v>
      </c>
      <c r="C567" s="3" t="s">
        <v>38</v>
      </c>
      <c r="D567" s="4">
        <v>40000</v>
      </c>
      <c r="E567" s="3">
        <v>3</v>
      </c>
      <c r="F567" s="3" t="s">
        <v>19</v>
      </c>
      <c r="G567" s="3" t="s">
        <v>21</v>
      </c>
      <c r="H567" s="3" t="s">
        <v>18</v>
      </c>
      <c r="I567" s="3">
        <v>2</v>
      </c>
      <c r="J567" s="3" t="s">
        <v>23</v>
      </c>
      <c r="K567" s="3" t="s">
        <v>32</v>
      </c>
      <c r="L567" s="3">
        <v>54</v>
      </c>
      <c r="M567" s="3" t="s">
        <v>51</v>
      </c>
      <c r="N567" s="3" t="s">
        <v>48</v>
      </c>
      <c r="O567" s="3" t="s">
        <v>15</v>
      </c>
    </row>
    <row r="568" spans="1:15" x14ac:dyDescent="0.25">
      <c r="A568" s="3">
        <v>18847</v>
      </c>
      <c r="B568" s="3" t="s">
        <v>36</v>
      </c>
      <c r="C568" s="3" t="s">
        <v>39</v>
      </c>
      <c r="D568" s="4">
        <v>60000</v>
      </c>
      <c r="E568" s="3">
        <v>2</v>
      </c>
      <c r="F568" s="3" t="s">
        <v>31</v>
      </c>
      <c r="G568" s="3" t="s">
        <v>28</v>
      </c>
      <c r="H568" s="3" t="s">
        <v>15</v>
      </c>
      <c r="I568" s="3">
        <v>2</v>
      </c>
      <c r="J568" s="3" t="s">
        <v>23</v>
      </c>
      <c r="K568" s="3" t="s">
        <v>32</v>
      </c>
      <c r="L568" s="3">
        <v>70</v>
      </c>
      <c r="M568" s="3" t="s">
        <v>54</v>
      </c>
      <c r="N568" s="3" t="s">
        <v>50</v>
      </c>
      <c r="O568" s="3" t="s">
        <v>18</v>
      </c>
    </row>
    <row r="569" spans="1:15" x14ac:dyDescent="0.25">
      <c r="A569" s="3">
        <v>14754</v>
      </c>
      <c r="B569" s="3" t="s">
        <v>36</v>
      </c>
      <c r="C569" s="3" t="s">
        <v>38</v>
      </c>
      <c r="D569" s="4">
        <v>40000</v>
      </c>
      <c r="E569" s="3">
        <v>1</v>
      </c>
      <c r="F569" s="3" t="s">
        <v>19</v>
      </c>
      <c r="G569" s="3" t="s">
        <v>20</v>
      </c>
      <c r="H569" s="3" t="s">
        <v>15</v>
      </c>
      <c r="I569" s="3">
        <v>1</v>
      </c>
      <c r="J569" s="3" t="s">
        <v>26</v>
      </c>
      <c r="K569" s="3" t="s">
        <v>32</v>
      </c>
      <c r="L569" s="3">
        <v>48</v>
      </c>
      <c r="M569" s="3" t="s">
        <v>51</v>
      </c>
      <c r="N569" s="3" t="s">
        <v>48</v>
      </c>
      <c r="O569" s="3" t="s">
        <v>15</v>
      </c>
    </row>
    <row r="570" spans="1:15" x14ac:dyDescent="0.25">
      <c r="A570" s="3">
        <v>23378</v>
      </c>
      <c r="B570" s="3" t="s">
        <v>36</v>
      </c>
      <c r="C570" s="3" t="s">
        <v>38</v>
      </c>
      <c r="D570" s="4">
        <v>70000</v>
      </c>
      <c r="E570" s="3">
        <v>1</v>
      </c>
      <c r="F570" s="3" t="s">
        <v>19</v>
      </c>
      <c r="G570" s="3" t="s">
        <v>14</v>
      </c>
      <c r="H570" s="3" t="s">
        <v>15</v>
      </c>
      <c r="I570" s="3">
        <v>1</v>
      </c>
      <c r="J570" s="3" t="s">
        <v>22</v>
      </c>
      <c r="K570" s="3" t="s">
        <v>32</v>
      </c>
      <c r="L570" s="3">
        <v>44</v>
      </c>
      <c r="M570" s="3" t="s">
        <v>53</v>
      </c>
      <c r="N570" s="3" t="s">
        <v>49</v>
      </c>
      <c r="O570" s="3" t="s">
        <v>15</v>
      </c>
    </row>
    <row r="571" spans="1:15" x14ac:dyDescent="0.25">
      <c r="A571" s="3">
        <v>26452</v>
      </c>
      <c r="B571" s="3" t="s">
        <v>37</v>
      </c>
      <c r="C571" s="3" t="s">
        <v>38</v>
      </c>
      <c r="D571" s="4">
        <v>50000</v>
      </c>
      <c r="E571" s="3">
        <v>3</v>
      </c>
      <c r="F571" s="3" t="s">
        <v>31</v>
      </c>
      <c r="G571" s="3" t="s">
        <v>28</v>
      </c>
      <c r="H571" s="3" t="s">
        <v>15</v>
      </c>
      <c r="I571" s="3">
        <v>2</v>
      </c>
      <c r="J571" s="3" t="s">
        <v>46</v>
      </c>
      <c r="K571" s="3" t="s">
        <v>32</v>
      </c>
      <c r="L571" s="3">
        <v>69</v>
      </c>
      <c r="M571" s="3" t="s">
        <v>54</v>
      </c>
      <c r="N571" s="3" t="s">
        <v>50</v>
      </c>
      <c r="O571" s="3" t="s">
        <v>18</v>
      </c>
    </row>
    <row r="572" spans="1:15" x14ac:dyDescent="0.25">
      <c r="A572" s="3">
        <v>20370</v>
      </c>
      <c r="B572" s="3" t="s">
        <v>36</v>
      </c>
      <c r="C572" s="3" t="s">
        <v>38</v>
      </c>
      <c r="D572" s="4">
        <v>70000</v>
      </c>
      <c r="E572" s="3">
        <v>3</v>
      </c>
      <c r="F572" s="3" t="s">
        <v>29</v>
      </c>
      <c r="G572" s="3" t="s">
        <v>14</v>
      </c>
      <c r="H572" s="3" t="s">
        <v>15</v>
      </c>
      <c r="I572" s="3">
        <v>2</v>
      </c>
      <c r="J572" s="3" t="s">
        <v>23</v>
      </c>
      <c r="K572" s="3" t="s">
        <v>32</v>
      </c>
      <c r="L572" s="3">
        <v>52</v>
      </c>
      <c r="M572" s="3" t="s">
        <v>51</v>
      </c>
      <c r="N572" s="3" t="s">
        <v>48</v>
      </c>
      <c r="O572" s="3" t="s">
        <v>18</v>
      </c>
    </row>
    <row r="573" spans="1:15" x14ac:dyDescent="0.25">
      <c r="A573" s="3">
        <v>20528</v>
      </c>
      <c r="B573" s="3" t="s">
        <v>36</v>
      </c>
      <c r="C573" s="3" t="s">
        <v>38</v>
      </c>
      <c r="D573" s="4">
        <v>40000</v>
      </c>
      <c r="E573" s="3">
        <v>2</v>
      </c>
      <c r="F573" s="3" t="s">
        <v>29</v>
      </c>
      <c r="G573" s="3" t="s">
        <v>14</v>
      </c>
      <c r="H573" s="3" t="s">
        <v>15</v>
      </c>
      <c r="I573" s="3">
        <v>2</v>
      </c>
      <c r="J573" s="3" t="s">
        <v>22</v>
      </c>
      <c r="K573" s="3" t="s">
        <v>32</v>
      </c>
      <c r="L573" s="3">
        <v>55</v>
      </c>
      <c r="M573" s="3" t="s">
        <v>52</v>
      </c>
      <c r="N573" s="3" t="s">
        <v>47</v>
      </c>
      <c r="O573" s="3" t="s">
        <v>18</v>
      </c>
    </row>
    <row r="574" spans="1:15" x14ac:dyDescent="0.25">
      <c r="A574" s="3">
        <v>23549</v>
      </c>
      <c r="B574" s="3" t="s">
        <v>37</v>
      </c>
      <c r="C574" s="3" t="s">
        <v>38</v>
      </c>
      <c r="D574" s="4">
        <v>30000</v>
      </c>
      <c r="E574" s="3">
        <v>0</v>
      </c>
      <c r="F574" s="3" t="s">
        <v>27</v>
      </c>
      <c r="G574" s="3" t="s">
        <v>14</v>
      </c>
      <c r="H574" s="3" t="s">
        <v>15</v>
      </c>
      <c r="I574" s="3">
        <v>2</v>
      </c>
      <c r="J574" s="3" t="s">
        <v>23</v>
      </c>
      <c r="K574" s="3" t="s">
        <v>32</v>
      </c>
      <c r="L574" s="3">
        <v>30</v>
      </c>
      <c r="M574" s="3" t="s">
        <v>53</v>
      </c>
      <c r="N574" s="3" t="s">
        <v>49</v>
      </c>
      <c r="O574" s="3" t="s">
        <v>18</v>
      </c>
    </row>
    <row r="575" spans="1:15" x14ac:dyDescent="0.25">
      <c r="A575" s="3">
        <v>21751</v>
      </c>
      <c r="B575" s="3" t="s">
        <v>36</v>
      </c>
      <c r="C575" s="3" t="s">
        <v>38</v>
      </c>
      <c r="D575" s="4">
        <v>60000</v>
      </c>
      <c r="E575" s="3">
        <v>3</v>
      </c>
      <c r="F575" s="3" t="s">
        <v>31</v>
      </c>
      <c r="G575" s="3" t="s">
        <v>28</v>
      </c>
      <c r="H575" s="3" t="s">
        <v>15</v>
      </c>
      <c r="I575" s="3">
        <v>2</v>
      </c>
      <c r="J575" s="3" t="s">
        <v>26</v>
      </c>
      <c r="K575" s="3" t="s">
        <v>32</v>
      </c>
      <c r="L575" s="3">
        <v>63</v>
      </c>
      <c r="M575" s="3" t="s">
        <v>54</v>
      </c>
      <c r="N575" s="3" t="s">
        <v>50</v>
      </c>
      <c r="O575" s="3" t="s">
        <v>18</v>
      </c>
    </row>
    <row r="576" spans="1:15" x14ac:dyDescent="0.25">
      <c r="A576" s="3">
        <v>21266</v>
      </c>
      <c r="B576" s="3" t="s">
        <v>37</v>
      </c>
      <c r="C576" s="3" t="s">
        <v>39</v>
      </c>
      <c r="D576" s="4">
        <v>80000</v>
      </c>
      <c r="E576" s="3">
        <v>0</v>
      </c>
      <c r="F576" s="3" t="s">
        <v>13</v>
      </c>
      <c r="G576" s="3" t="s">
        <v>28</v>
      </c>
      <c r="H576" s="3" t="s">
        <v>15</v>
      </c>
      <c r="I576" s="3">
        <v>1</v>
      </c>
      <c r="J576" s="3" t="s">
        <v>26</v>
      </c>
      <c r="K576" s="3" t="s">
        <v>32</v>
      </c>
      <c r="L576" s="3">
        <v>34</v>
      </c>
      <c r="M576" s="3" t="s">
        <v>53</v>
      </c>
      <c r="N576" s="3" t="s">
        <v>49</v>
      </c>
      <c r="O576" s="3" t="s">
        <v>15</v>
      </c>
    </row>
    <row r="577" spans="1:15" x14ac:dyDescent="0.25">
      <c r="A577" s="3">
        <v>13388</v>
      </c>
      <c r="B577" s="3" t="s">
        <v>37</v>
      </c>
      <c r="C577" s="3" t="s">
        <v>38</v>
      </c>
      <c r="D577" s="4">
        <v>60000</v>
      </c>
      <c r="E577" s="3">
        <v>2</v>
      </c>
      <c r="F577" s="3" t="s">
        <v>19</v>
      </c>
      <c r="G577" s="3" t="s">
        <v>21</v>
      </c>
      <c r="H577" s="3" t="s">
        <v>15</v>
      </c>
      <c r="I577" s="3">
        <v>1</v>
      </c>
      <c r="J577" s="3" t="s">
        <v>46</v>
      </c>
      <c r="K577" s="3" t="s">
        <v>32</v>
      </c>
      <c r="L577" s="3">
        <v>56</v>
      </c>
      <c r="M577" s="3" t="s">
        <v>54</v>
      </c>
      <c r="N577" s="3" t="s">
        <v>50</v>
      </c>
      <c r="O577" s="3" t="s">
        <v>18</v>
      </c>
    </row>
    <row r="578" spans="1:15" x14ac:dyDescent="0.25">
      <c r="A578" s="3">
        <v>18752</v>
      </c>
      <c r="B578" s="3" t="s">
        <v>37</v>
      </c>
      <c r="C578" s="3" t="s">
        <v>39</v>
      </c>
      <c r="D578" s="4">
        <v>40000</v>
      </c>
      <c r="E578" s="3">
        <v>0</v>
      </c>
      <c r="F578" s="3" t="s">
        <v>27</v>
      </c>
      <c r="G578" s="3" t="s">
        <v>14</v>
      </c>
      <c r="H578" s="3" t="s">
        <v>15</v>
      </c>
      <c r="I578" s="3">
        <v>1</v>
      </c>
      <c r="J578" s="3" t="s">
        <v>23</v>
      </c>
      <c r="K578" s="3" t="s">
        <v>32</v>
      </c>
      <c r="L578" s="3">
        <v>31</v>
      </c>
      <c r="M578" s="3" t="s">
        <v>53</v>
      </c>
      <c r="N578" s="3" t="s">
        <v>49</v>
      </c>
      <c r="O578" s="3" t="s">
        <v>18</v>
      </c>
    </row>
    <row r="579" spans="1:15" x14ac:dyDescent="0.25">
      <c r="A579" s="3">
        <v>16917</v>
      </c>
      <c r="B579" s="3" t="s">
        <v>36</v>
      </c>
      <c r="C579" s="3" t="s">
        <v>38</v>
      </c>
      <c r="D579" s="4">
        <v>120000</v>
      </c>
      <c r="E579" s="3">
        <v>1</v>
      </c>
      <c r="F579" s="3" t="s">
        <v>13</v>
      </c>
      <c r="G579" s="3" t="s">
        <v>28</v>
      </c>
      <c r="H579" s="3" t="s">
        <v>15</v>
      </c>
      <c r="I579" s="3">
        <v>4</v>
      </c>
      <c r="J579" s="3" t="s">
        <v>16</v>
      </c>
      <c r="K579" s="3" t="s">
        <v>32</v>
      </c>
      <c r="L579" s="3">
        <v>38</v>
      </c>
      <c r="M579" s="3" t="s">
        <v>53</v>
      </c>
      <c r="N579" s="3" t="s">
        <v>49</v>
      </c>
      <c r="O579" s="3" t="s">
        <v>18</v>
      </c>
    </row>
    <row r="580" spans="1:15" x14ac:dyDescent="0.25">
      <c r="A580" s="3">
        <v>15313</v>
      </c>
      <c r="B580" s="3" t="s">
        <v>36</v>
      </c>
      <c r="C580" s="3" t="s">
        <v>38</v>
      </c>
      <c r="D580" s="4">
        <v>60000</v>
      </c>
      <c r="E580" s="3">
        <v>4</v>
      </c>
      <c r="F580" s="3" t="s">
        <v>13</v>
      </c>
      <c r="G580" s="3" t="s">
        <v>28</v>
      </c>
      <c r="H580" s="3" t="s">
        <v>15</v>
      </c>
      <c r="I580" s="3">
        <v>2</v>
      </c>
      <c r="J580" s="3" t="s">
        <v>22</v>
      </c>
      <c r="K580" s="3" t="s">
        <v>32</v>
      </c>
      <c r="L580" s="3">
        <v>59</v>
      </c>
      <c r="M580" s="3" t="s">
        <v>54</v>
      </c>
      <c r="N580" s="3" t="s">
        <v>50</v>
      </c>
      <c r="O580" s="3" t="s">
        <v>18</v>
      </c>
    </row>
    <row r="581" spans="1:15" x14ac:dyDescent="0.25">
      <c r="A581" s="3">
        <v>25329</v>
      </c>
      <c r="B581" s="3" t="s">
        <v>37</v>
      </c>
      <c r="C581" s="3" t="s">
        <v>39</v>
      </c>
      <c r="D581" s="4">
        <v>40000</v>
      </c>
      <c r="E581" s="3">
        <v>3</v>
      </c>
      <c r="F581" s="3" t="s">
        <v>19</v>
      </c>
      <c r="G581" s="3" t="s">
        <v>20</v>
      </c>
      <c r="H581" s="3" t="s">
        <v>18</v>
      </c>
      <c r="I581" s="3">
        <v>2</v>
      </c>
      <c r="J581" s="3" t="s">
        <v>16</v>
      </c>
      <c r="K581" s="3" t="s">
        <v>32</v>
      </c>
      <c r="L581" s="3">
        <v>32</v>
      </c>
      <c r="M581" s="3" t="s">
        <v>53</v>
      </c>
      <c r="N581" s="3" t="s">
        <v>49</v>
      </c>
      <c r="O581" s="3" t="s">
        <v>18</v>
      </c>
    </row>
    <row r="582" spans="1:15" x14ac:dyDescent="0.25">
      <c r="A582" s="3">
        <v>20380</v>
      </c>
      <c r="B582" s="3" t="s">
        <v>36</v>
      </c>
      <c r="C582" s="3" t="s">
        <v>39</v>
      </c>
      <c r="D582" s="4">
        <v>60000</v>
      </c>
      <c r="E582" s="3">
        <v>3</v>
      </c>
      <c r="F582" s="3" t="s">
        <v>31</v>
      </c>
      <c r="G582" s="3" t="s">
        <v>28</v>
      </c>
      <c r="H582" s="3" t="s">
        <v>15</v>
      </c>
      <c r="I582" s="3">
        <v>2</v>
      </c>
      <c r="J582" s="3" t="s">
        <v>46</v>
      </c>
      <c r="K582" s="3" t="s">
        <v>32</v>
      </c>
      <c r="L582" s="3">
        <v>69</v>
      </c>
      <c r="M582" s="3" t="s">
        <v>54</v>
      </c>
      <c r="N582" s="3" t="s">
        <v>50</v>
      </c>
      <c r="O582" s="3" t="s">
        <v>18</v>
      </c>
    </row>
    <row r="583" spans="1:15" x14ac:dyDescent="0.25">
      <c r="A583" s="3">
        <v>23089</v>
      </c>
      <c r="B583" s="3" t="s">
        <v>36</v>
      </c>
      <c r="C583" s="3" t="s">
        <v>38</v>
      </c>
      <c r="D583" s="4">
        <v>40000</v>
      </c>
      <c r="E583" s="3">
        <v>0</v>
      </c>
      <c r="F583" s="3" t="s">
        <v>19</v>
      </c>
      <c r="G583" s="3" t="s">
        <v>14</v>
      </c>
      <c r="H583" s="3" t="s">
        <v>15</v>
      </c>
      <c r="I583" s="3">
        <v>1</v>
      </c>
      <c r="J583" s="3" t="s">
        <v>23</v>
      </c>
      <c r="K583" s="3" t="s">
        <v>32</v>
      </c>
      <c r="L583" s="3">
        <v>28</v>
      </c>
      <c r="M583" s="3" t="s">
        <v>53</v>
      </c>
      <c r="N583" s="3" t="s">
        <v>49</v>
      </c>
      <c r="O583" s="3" t="s">
        <v>18</v>
      </c>
    </row>
    <row r="584" spans="1:15" x14ac:dyDescent="0.25">
      <c r="A584" s="3">
        <v>13749</v>
      </c>
      <c r="B584" s="3" t="s">
        <v>36</v>
      </c>
      <c r="C584" s="3" t="s">
        <v>38</v>
      </c>
      <c r="D584" s="4">
        <v>80000</v>
      </c>
      <c r="E584" s="3">
        <v>4</v>
      </c>
      <c r="F584" s="3" t="s">
        <v>31</v>
      </c>
      <c r="G584" s="3" t="s">
        <v>14</v>
      </c>
      <c r="H584" s="3" t="s">
        <v>15</v>
      </c>
      <c r="I584" s="3">
        <v>0</v>
      </c>
      <c r="J584" s="3" t="s">
        <v>26</v>
      </c>
      <c r="K584" s="3" t="s">
        <v>32</v>
      </c>
      <c r="L584" s="3">
        <v>47</v>
      </c>
      <c r="M584" s="3" t="s">
        <v>51</v>
      </c>
      <c r="N584" s="3" t="s">
        <v>48</v>
      </c>
      <c r="O584" s="3" t="s">
        <v>18</v>
      </c>
    </row>
    <row r="585" spans="1:15" x14ac:dyDescent="0.25">
      <c r="A585" s="3">
        <v>24943</v>
      </c>
      <c r="B585" s="3" t="s">
        <v>36</v>
      </c>
      <c r="C585" s="3" t="s">
        <v>38</v>
      </c>
      <c r="D585" s="4">
        <v>60000</v>
      </c>
      <c r="E585" s="3">
        <v>3</v>
      </c>
      <c r="F585" s="3" t="s">
        <v>13</v>
      </c>
      <c r="G585" s="3" t="s">
        <v>28</v>
      </c>
      <c r="H585" s="3" t="s">
        <v>15</v>
      </c>
      <c r="I585" s="3">
        <v>2</v>
      </c>
      <c r="J585" s="3" t="s">
        <v>46</v>
      </c>
      <c r="K585" s="3" t="s">
        <v>32</v>
      </c>
      <c r="L585" s="3">
        <v>66</v>
      </c>
      <c r="M585" s="3" t="s">
        <v>54</v>
      </c>
      <c r="N585" s="3" t="s">
        <v>50</v>
      </c>
      <c r="O585" s="3" t="s">
        <v>18</v>
      </c>
    </row>
    <row r="586" spans="1:15" x14ac:dyDescent="0.25">
      <c r="A586" s="3">
        <v>28667</v>
      </c>
      <c r="B586" s="3" t="s">
        <v>37</v>
      </c>
      <c r="C586" s="3" t="s">
        <v>38</v>
      </c>
      <c r="D586" s="4">
        <v>70000</v>
      </c>
      <c r="E586" s="3">
        <v>2</v>
      </c>
      <c r="F586" s="3" t="s">
        <v>13</v>
      </c>
      <c r="G586" s="3" t="s">
        <v>14</v>
      </c>
      <c r="H586" s="3" t="s">
        <v>18</v>
      </c>
      <c r="I586" s="3">
        <v>1</v>
      </c>
      <c r="J586" s="3" t="s">
        <v>16</v>
      </c>
      <c r="K586" s="3" t="s">
        <v>32</v>
      </c>
      <c r="L586" s="3">
        <v>37</v>
      </c>
      <c r="M586" s="3" t="s">
        <v>53</v>
      </c>
      <c r="N586" s="3" t="s">
        <v>49</v>
      </c>
      <c r="O586" s="3" t="s">
        <v>15</v>
      </c>
    </row>
    <row r="587" spans="1:15" x14ac:dyDescent="0.25">
      <c r="A587" s="3">
        <v>15194</v>
      </c>
      <c r="B587" s="3" t="s">
        <v>37</v>
      </c>
      <c r="C587" s="3" t="s">
        <v>38</v>
      </c>
      <c r="D587" s="4">
        <v>120000</v>
      </c>
      <c r="E587" s="3">
        <v>2</v>
      </c>
      <c r="F587" s="3" t="s">
        <v>13</v>
      </c>
      <c r="G587" s="3" t="s">
        <v>28</v>
      </c>
      <c r="H587" s="3" t="s">
        <v>18</v>
      </c>
      <c r="I587" s="3">
        <v>3</v>
      </c>
      <c r="J587" s="3" t="s">
        <v>16</v>
      </c>
      <c r="K587" s="3" t="s">
        <v>32</v>
      </c>
      <c r="L587" s="3">
        <v>39</v>
      </c>
      <c r="M587" s="3" t="s">
        <v>53</v>
      </c>
      <c r="N587" s="3" t="s">
        <v>49</v>
      </c>
      <c r="O587" s="3" t="s">
        <v>15</v>
      </c>
    </row>
    <row r="588" spans="1:15" x14ac:dyDescent="0.25">
      <c r="A588" s="3">
        <v>17436</v>
      </c>
      <c r="B588" s="3" t="s">
        <v>36</v>
      </c>
      <c r="C588" s="3" t="s">
        <v>38</v>
      </c>
      <c r="D588" s="4">
        <v>60000</v>
      </c>
      <c r="E588" s="3">
        <v>2</v>
      </c>
      <c r="F588" s="3" t="s">
        <v>27</v>
      </c>
      <c r="G588" s="3" t="s">
        <v>21</v>
      </c>
      <c r="H588" s="3" t="s">
        <v>18</v>
      </c>
      <c r="I588" s="3">
        <v>2</v>
      </c>
      <c r="J588" s="3" t="s">
        <v>26</v>
      </c>
      <c r="K588" s="3" t="s">
        <v>32</v>
      </c>
      <c r="L588" s="3">
        <v>51</v>
      </c>
      <c r="M588" s="3" t="s">
        <v>51</v>
      </c>
      <c r="N588" s="3" t="s">
        <v>48</v>
      </c>
      <c r="O588" s="3" t="s">
        <v>18</v>
      </c>
    </row>
    <row r="589" spans="1:15" x14ac:dyDescent="0.25">
      <c r="A589" s="3">
        <v>18935</v>
      </c>
      <c r="B589" s="3" t="s">
        <v>36</v>
      </c>
      <c r="C589" s="3" t="s">
        <v>39</v>
      </c>
      <c r="D589" s="4">
        <v>130000</v>
      </c>
      <c r="E589" s="3">
        <v>0</v>
      </c>
      <c r="F589" s="3" t="s">
        <v>31</v>
      </c>
      <c r="G589" s="3" t="s">
        <v>28</v>
      </c>
      <c r="H589" s="3" t="s">
        <v>15</v>
      </c>
      <c r="I589" s="3">
        <v>3</v>
      </c>
      <c r="J589" s="3" t="s">
        <v>26</v>
      </c>
      <c r="K589" s="3" t="s">
        <v>32</v>
      </c>
      <c r="L589" s="3">
        <v>40</v>
      </c>
      <c r="M589" s="3" t="s">
        <v>53</v>
      </c>
      <c r="N589" s="3" t="s">
        <v>49</v>
      </c>
      <c r="O589" s="3" t="s">
        <v>18</v>
      </c>
    </row>
    <row r="590" spans="1:15" x14ac:dyDescent="0.25">
      <c r="A590" s="3">
        <v>16871</v>
      </c>
      <c r="B590" s="3" t="s">
        <v>36</v>
      </c>
      <c r="C590" s="3" t="s">
        <v>39</v>
      </c>
      <c r="D590" s="4">
        <v>90000</v>
      </c>
      <c r="E590" s="3">
        <v>2</v>
      </c>
      <c r="F590" s="3" t="s">
        <v>27</v>
      </c>
      <c r="G590" s="3" t="s">
        <v>21</v>
      </c>
      <c r="H590" s="3" t="s">
        <v>15</v>
      </c>
      <c r="I590" s="3">
        <v>1</v>
      </c>
      <c r="J590" s="3" t="s">
        <v>46</v>
      </c>
      <c r="K590" s="3" t="s">
        <v>32</v>
      </c>
      <c r="L590" s="3">
        <v>51</v>
      </c>
      <c r="M590" s="3" t="s">
        <v>51</v>
      </c>
      <c r="N590" s="3" t="s">
        <v>48</v>
      </c>
      <c r="O590" s="3" t="s">
        <v>15</v>
      </c>
    </row>
    <row r="591" spans="1:15" x14ac:dyDescent="0.25">
      <c r="A591" s="3">
        <v>12100</v>
      </c>
      <c r="B591" s="3" t="s">
        <v>37</v>
      </c>
      <c r="C591" s="3" t="s">
        <v>38</v>
      </c>
      <c r="D591" s="4">
        <v>60000</v>
      </c>
      <c r="E591" s="3">
        <v>2</v>
      </c>
      <c r="F591" s="3" t="s">
        <v>13</v>
      </c>
      <c r="G591" s="3" t="s">
        <v>28</v>
      </c>
      <c r="H591" s="3" t="s">
        <v>15</v>
      </c>
      <c r="I591" s="3">
        <v>0</v>
      </c>
      <c r="J591" s="3" t="s">
        <v>46</v>
      </c>
      <c r="K591" s="3" t="s">
        <v>32</v>
      </c>
      <c r="L591" s="3">
        <v>57</v>
      </c>
      <c r="M591" s="3" t="s">
        <v>54</v>
      </c>
      <c r="N591" s="3" t="s">
        <v>50</v>
      </c>
      <c r="O591" s="3" t="s">
        <v>18</v>
      </c>
    </row>
    <row r="592" spans="1:15" x14ac:dyDescent="0.25">
      <c r="A592" s="3">
        <v>23158</v>
      </c>
      <c r="B592" s="3" t="s">
        <v>36</v>
      </c>
      <c r="C592" s="3" t="s">
        <v>39</v>
      </c>
      <c r="D592" s="4">
        <v>60000</v>
      </c>
      <c r="E592" s="3">
        <v>1</v>
      </c>
      <c r="F592" s="3" t="s">
        <v>31</v>
      </c>
      <c r="G592" s="3" t="s">
        <v>21</v>
      </c>
      <c r="H592" s="3" t="s">
        <v>18</v>
      </c>
      <c r="I592" s="3">
        <v>0</v>
      </c>
      <c r="J592" s="3" t="s">
        <v>16</v>
      </c>
      <c r="K592" s="3" t="s">
        <v>32</v>
      </c>
      <c r="L592" s="3">
        <v>35</v>
      </c>
      <c r="M592" s="3" t="s">
        <v>53</v>
      </c>
      <c r="N592" s="3" t="s">
        <v>49</v>
      </c>
      <c r="O592" s="3" t="s">
        <v>15</v>
      </c>
    </row>
    <row r="593" spans="1:15" x14ac:dyDescent="0.25">
      <c r="A593" s="3">
        <v>18545</v>
      </c>
      <c r="B593" s="3" t="s">
        <v>36</v>
      </c>
      <c r="C593" s="3" t="s">
        <v>38</v>
      </c>
      <c r="D593" s="4">
        <v>40000</v>
      </c>
      <c r="E593" s="3">
        <v>4</v>
      </c>
      <c r="F593" s="3" t="s">
        <v>27</v>
      </c>
      <c r="G593" s="3" t="s">
        <v>21</v>
      </c>
      <c r="H593" s="3" t="s">
        <v>18</v>
      </c>
      <c r="I593" s="3">
        <v>2</v>
      </c>
      <c r="J593" s="3" t="s">
        <v>46</v>
      </c>
      <c r="K593" s="3" t="s">
        <v>32</v>
      </c>
      <c r="L593" s="3">
        <v>61</v>
      </c>
      <c r="M593" s="3" t="s">
        <v>54</v>
      </c>
      <c r="N593" s="3" t="s">
        <v>50</v>
      </c>
      <c r="O593" s="3" t="s">
        <v>15</v>
      </c>
    </row>
    <row r="594" spans="1:15" x14ac:dyDescent="0.25">
      <c r="A594" s="3">
        <v>18391</v>
      </c>
      <c r="B594" s="3" t="s">
        <v>37</v>
      </c>
      <c r="C594" s="3" t="s">
        <v>39</v>
      </c>
      <c r="D594" s="4">
        <v>80000</v>
      </c>
      <c r="E594" s="3">
        <v>5</v>
      </c>
      <c r="F594" s="3" t="s">
        <v>19</v>
      </c>
      <c r="G594" s="3" t="s">
        <v>21</v>
      </c>
      <c r="H594" s="3" t="s">
        <v>15</v>
      </c>
      <c r="I594" s="3">
        <v>2</v>
      </c>
      <c r="J594" s="3" t="s">
        <v>23</v>
      </c>
      <c r="K594" s="3" t="s">
        <v>32</v>
      </c>
      <c r="L594" s="3">
        <v>44</v>
      </c>
      <c r="M594" s="3" t="s">
        <v>53</v>
      </c>
      <c r="N594" s="3" t="s">
        <v>49</v>
      </c>
      <c r="O594" s="3" t="s">
        <v>18</v>
      </c>
    </row>
    <row r="595" spans="1:15" x14ac:dyDescent="0.25">
      <c r="A595" s="3">
        <v>19812</v>
      </c>
      <c r="B595" s="3" t="s">
        <v>37</v>
      </c>
      <c r="C595" s="3" t="s">
        <v>39</v>
      </c>
      <c r="D595" s="4">
        <v>70000</v>
      </c>
      <c r="E595" s="3">
        <v>2</v>
      </c>
      <c r="F595" s="3" t="s">
        <v>19</v>
      </c>
      <c r="G595" s="3" t="s">
        <v>21</v>
      </c>
      <c r="H595" s="3" t="s">
        <v>15</v>
      </c>
      <c r="I595" s="3">
        <v>0</v>
      </c>
      <c r="J595" s="3" t="s">
        <v>23</v>
      </c>
      <c r="K595" s="3" t="s">
        <v>32</v>
      </c>
      <c r="L595" s="3">
        <v>49</v>
      </c>
      <c r="M595" s="3" t="s">
        <v>51</v>
      </c>
      <c r="N595" s="3" t="s">
        <v>48</v>
      </c>
      <c r="O595" s="3" t="s">
        <v>15</v>
      </c>
    </row>
    <row r="596" spans="1:15" x14ac:dyDescent="0.25">
      <c r="A596" s="3">
        <v>27660</v>
      </c>
      <c r="B596" s="3" t="s">
        <v>36</v>
      </c>
      <c r="C596" s="3" t="s">
        <v>38</v>
      </c>
      <c r="D596" s="4">
        <v>80000</v>
      </c>
      <c r="E596" s="3">
        <v>4</v>
      </c>
      <c r="F596" s="3" t="s">
        <v>31</v>
      </c>
      <c r="G596" s="3" t="s">
        <v>28</v>
      </c>
      <c r="H596" s="3" t="s">
        <v>15</v>
      </c>
      <c r="I596" s="3">
        <v>2</v>
      </c>
      <c r="J596" s="3" t="s">
        <v>23</v>
      </c>
      <c r="K596" s="3" t="s">
        <v>32</v>
      </c>
      <c r="L596" s="3">
        <v>70</v>
      </c>
      <c r="M596" s="3" t="s">
        <v>54</v>
      </c>
      <c r="N596" s="3" t="s">
        <v>50</v>
      </c>
      <c r="O596" s="3" t="s">
        <v>18</v>
      </c>
    </row>
    <row r="597" spans="1:15" x14ac:dyDescent="0.25">
      <c r="A597" s="3">
        <v>18058</v>
      </c>
      <c r="B597" s="3" t="s">
        <v>37</v>
      </c>
      <c r="C597" s="3" t="s">
        <v>39</v>
      </c>
      <c r="D597" s="4">
        <v>20000</v>
      </c>
      <c r="E597" s="3">
        <v>3</v>
      </c>
      <c r="F597" s="3" t="s">
        <v>27</v>
      </c>
      <c r="G597" s="3" t="s">
        <v>14</v>
      </c>
      <c r="H597" s="3" t="s">
        <v>15</v>
      </c>
      <c r="I597" s="3">
        <v>2</v>
      </c>
      <c r="J597" s="3" t="s">
        <v>22</v>
      </c>
      <c r="K597" s="3" t="s">
        <v>32</v>
      </c>
      <c r="L597" s="3">
        <v>78</v>
      </c>
      <c r="M597" s="3" t="s">
        <v>54</v>
      </c>
      <c r="N597" s="3" t="s">
        <v>50</v>
      </c>
      <c r="O597" s="3" t="s">
        <v>18</v>
      </c>
    </row>
    <row r="598" spans="1:15" x14ac:dyDescent="0.25">
      <c r="A598" s="3">
        <v>20343</v>
      </c>
      <c r="B598" s="3" t="s">
        <v>36</v>
      </c>
      <c r="C598" s="3" t="s">
        <v>39</v>
      </c>
      <c r="D598" s="4">
        <v>90000</v>
      </c>
      <c r="E598" s="3">
        <v>4</v>
      </c>
      <c r="F598" s="3" t="s">
        <v>19</v>
      </c>
      <c r="G598" s="3" t="s">
        <v>21</v>
      </c>
      <c r="H598" s="3" t="s">
        <v>15</v>
      </c>
      <c r="I598" s="3">
        <v>1</v>
      </c>
      <c r="J598" s="3" t="s">
        <v>26</v>
      </c>
      <c r="K598" s="3" t="s">
        <v>32</v>
      </c>
      <c r="L598" s="3">
        <v>45</v>
      </c>
      <c r="M598" s="3" t="s">
        <v>51</v>
      </c>
      <c r="N598" s="3" t="s">
        <v>48</v>
      </c>
      <c r="O598" s="3" t="s">
        <v>18</v>
      </c>
    </row>
    <row r="599" spans="1:15" x14ac:dyDescent="0.25">
      <c r="A599" s="3">
        <v>28997</v>
      </c>
      <c r="B599" s="3" t="s">
        <v>37</v>
      </c>
      <c r="C599" s="3" t="s">
        <v>38</v>
      </c>
      <c r="D599" s="4">
        <v>40000</v>
      </c>
      <c r="E599" s="3">
        <v>2</v>
      </c>
      <c r="F599" s="3" t="s">
        <v>27</v>
      </c>
      <c r="G599" s="3" t="s">
        <v>21</v>
      </c>
      <c r="H599" s="3" t="s">
        <v>18</v>
      </c>
      <c r="I599" s="3">
        <v>1</v>
      </c>
      <c r="J599" s="3" t="s">
        <v>22</v>
      </c>
      <c r="K599" s="3" t="s">
        <v>32</v>
      </c>
      <c r="L599" s="3">
        <v>58</v>
      </c>
      <c r="M599" s="3" t="s">
        <v>54</v>
      </c>
      <c r="N599" s="3" t="s">
        <v>50</v>
      </c>
      <c r="O599" s="3" t="s">
        <v>15</v>
      </c>
    </row>
    <row r="600" spans="1:15" x14ac:dyDescent="0.25">
      <c r="A600" s="3">
        <v>24398</v>
      </c>
      <c r="B600" s="3" t="s">
        <v>36</v>
      </c>
      <c r="C600" s="3" t="s">
        <v>38</v>
      </c>
      <c r="D600" s="4">
        <v>130000</v>
      </c>
      <c r="E600" s="3">
        <v>1</v>
      </c>
      <c r="F600" s="3" t="s">
        <v>31</v>
      </c>
      <c r="G600" s="3" t="s">
        <v>28</v>
      </c>
      <c r="H600" s="3" t="s">
        <v>15</v>
      </c>
      <c r="I600" s="3">
        <v>4</v>
      </c>
      <c r="J600" s="3" t="s">
        <v>16</v>
      </c>
      <c r="K600" s="3" t="s">
        <v>32</v>
      </c>
      <c r="L600" s="3">
        <v>41</v>
      </c>
      <c r="M600" s="3" t="s">
        <v>53</v>
      </c>
      <c r="N600" s="3" t="s">
        <v>49</v>
      </c>
      <c r="O600" s="3" t="s">
        <v>18</v>
      </c>
    </row>
    <row r="601" spans="1:15" x14ac:dyDescent="0.25">
      <c r="A601" s="3">
        <v>19002</v>
      </c>
      <c r="B601" s="3" t="s">
        <v>36</v>
      </c>
      <c r="C601" s="3" t="s">
        <v>39</v>
      </c>
      <c r="D601" s="4">
        <v>60000</v>
      </c>
      <c r="E601" s="3">
        <v>2</v>
      </c>
      <c r="F601" s="3" t="s">
        <v>19</v>
      </c>
      <c r="G601" s="3" t="s">
        <v>21</v>
      </c>
      <c r="H601" s="3" t="s">
        <v>15</v>
      </c>
      <c r="I601" s="3">
        <v>1</v>
      </c>
      <c r="J601" s="3" t="s">
        <v>22</v>
      </c>
      <c r="K601" s="3" t="s">
        <v>32</v>
      </c>
      <c r="L601" s="3">
        <v>57</v>
      </c>
      <c r="M601" s="3" t="s">
        <v>54</v>
      </c>
      <c r="N601" s="3" t="s">
        <v>50</v>
      </c>
      <c r="O601" s="3" t="s">
        <v>15</v>
      </c>
    </row>
    <row r="602" spans="1:15" x14ac:dyDescent="0.25">
      <c r="A602" s="3">
        <v>28609</v>
      </c>
      <c r="B602" s="3" t="s">
        <v>36</v>
      </c>
      <c r="C602" s="3" t="s">
        <v>38</v>
      </c>
      <c r="D602" s="4">
        <v>30000</v>
      </c>
      <c r="E602" s="3">
        <v>2</v>
      </c>
      <c r="F602" s="3" t="s">
        <v>27</v>
      </c>
      <c r="G602" s="3" t="s">
        <v>14</v>
      </c>
      <c r="H602" s="3" t="s">
        <v>18</v>
      </c>
      <c r="I602" s="3">
        <v>2</v>
      </c>
      <c r="J602" s="3" t="s">
        <v>16</v>
      </c>
      <c r="K602" s="3" t="s">
        <v>32</v>
      </c>
      <c r="L602" s="3">
        <v>49</v>
      </c>
      <c r="M602" s="3" t="s">
        <v>51</v>
      </c>
      <c r="N602" s="3" t="s">
        <v>48</v>
      </c>
      <c r="O602" s="3" t="s">
        <v>18</v>
      </c>
    </row>
    <row r="603" spans="1:15" x14ac:dyDescent="0.25">
      <c r="A603" s="3">
        <v>29231</v>
      </c>
      <c r="B603" s="3" t="s">
        <v>37</v>
      </c>
      <c r="C603" s="3" t="s">
        <v>38</v>
      </c>
      <c r="D603" s="4">
        <v>80000</v>
      </c>
      <c r="E603" s="3">
        <v>4</v>
      </c>
      <c r="F603" s="3" t="s">
        <v>19</v>
      </c>
      <c r="G603" s="3" t="s">
        <v>21</v>
      </c>
      <c r="H603" s="3" t="s">
        <v>18</v>
      </c>
      <c r="I603" s="3">
        <v>2</v>
      </c>
      <c r="J603" s="3" t="s">
        <v>16</v>
      </c>
      <c r="K603" s="3" t="s">
        <v>32</v>
      </c>
      <c r="L603" s="3">
        <v>43</v>
      </c>
      <c r="M603" s="3" t="s">
        <v>53</v>
      </c>
      <c r="N603" s="3" t="s">
        <v>49</v>
      </c>
      <c r="O603" s="3" t="s">
        <v>18</v>
      </c>
    </row>
    <row r="604" spans="1:15" x14ac:dyDescent="0.25">
      <c r="A604" s="3">
        <v>18858</v>
      </c>
      <c r="B604" s="3" t="s">
        <v>37</v>
      </c>
      <c r="C604" s="3" t="s">
        <v>38</v>
      </c>
      <c r="D604" s="4">
        <v>60000</v>
      </c>
      <c r="E604" s="3">
        <v>2</v>
      </c>
      <c r="F604" s="3" t="s">
        <v>29</v>
      </c>
      <c r="G604" s="3" t="s">
        <v>14</v>
      </c>
      <c r="H604" s="3" t="s">
        <v>15</v>
      </c>
      <c r="I604" s="3">
        <v>2</v>
      </c>
      <c r="J604" s="3" t="s">
        <v>23</v>
      </c>
      <c r="K604" s="3" t="s">
        <v>32</v>
      </c>
      <c r="L604" s="3">
        <v>52</v>
      </c>
      <c r="M604" s="3" t="s">
        <v>51</v>
      </c>
      <c r="N604" s="3" t="s">
        <v>48</v>
      </c>
      <c r="O604" s="3" t="s">
        <v>15</v>
      </c>
    </row>
    <row r="605" spans="1:15" x14ac:dyDescent="0.25">
      <c r="A605" s="3">
        <v>20000</v>
      </c>
      <c r="B605" s="3" t="s">
        <v>36</v>
      </c>
      <c r="C605" s="3" t="s">
        <v>38</v>
      </c>
      <c r="D605" s="4">
        <v>60000</v>
      </c>
      <c r="E605" s="3">
        <v>1</v>
      </c>
      <c r="F605" s="3" t="s">
        <v>31</v>
      </c>
      <c r="G605" s="3" t="s">
        <v>21</v>
      </c>
      <c r="H605" s="3" t="s">
        <v>15</v>
      </c>
      <c r="I605" s="3">
        <v>0</v>
      </c>
      <c r="J605" s="3" t="s">
        <v>16</v>
      </c>
      <c r="K605" s="3" t="s">
        <v>32</v>
      </c>
      <c r="L605" s="3">
        <v>35</v>
      </c>
      <c r="M605" s="3" t="s">
        <v>53</v>
      </c>
      <c r="N605" s="3" t="s">
        <v>49</v>
      </c>
      <c r="O605" s="3" t="s">
        <v>15</v>
      </c>
    </row>
    <row r="606" spans="1:15" x14ac:dyDescent="0.25">
      <c r="A606" s="3">
        <v>25261</v>
      </c>
      <c r="B606" s="3" t="s">
        <v>36</v>
      </c>
      <c r="C606" s="3" t="s">
        <v>38</v>
      </c>
      <c r="D606" s="4">
        <v>40000</v>
      </c>
      <c r="E606" s="3">
        <v>0</v>
      </c>
      <c r="F606" s="3" t="s">
        <v>27</v>
      </c>
      <c r="G606" s="3" t="s">
        <v>14</v>
      </c>
      <c r="H606" s="3" t="s">
        <v>15</v>
      </c>
      <c r="I606" s="3">
        <v>2</v>
      </c>
      <c r="J606" s="3" t="s">
        <v>23</v>
      </c>
      <c r="K606" s="3" t="s">
        <v>32</v>
      </c>
      <c r="L606" s="3">
        <v>27</v>
      </c>
      <c r="M606" s="3" t="s">
        <v>53</v>
      </c>
      <c r="N606" s="3" t="s">
        <v>49</v>
      </c>
      <c r="O606" s="3" t="s">
        <v>18</v>
      </c>
    </row>
    <row r="607" spans="1:15" x14ac:dyDescent="0.25">
      <c r="A607" s="3">
        <v>17458</v>
      </c>
      <c r="B607" s="3" t="s">
        <v>37</v>
      </c>
      <c r="C607" s="3" t="s">
        <v>38</v>
      </c>
      <c r="D607" s="4">
        <v>70000</v>
      </c>
      <c r="E607" s="3">
        <v>3</v>
      </c>
      <c r="F607" s="3" t="s">
        <v>27</v>
      </c>
      <c r="G607" s="3" t="s">
        <v>21</v>
      </c>
      <c r="H607" s="3" t="s">
        <v>15</v>
      </c>
      <c r="I607" s="3">
        <v>0</v>
      </c>
      <c r="J607" s="3" t="s">
        <v>23</v>
      </c>
      <c r="K607" s="3" t="s">
        <v>32</v>
      </c>
      <c r="L607" s="3">
        <v>52</v>
      </c>
      <c r="M607" s="3" t="s">
        <v>51</v>
      </c>
      <c r="N607" s="3" t="s">
        <v>48</v>
      </c>
      <c r="O607" s="3" t="s">
        <v>15</v>
      </c>
    </row>
    <row r="608" spans="1:15" x14ac:dyDescent="0.25">
      <c r="A608" s="3">
        <v>11644</v>
      </c>
      <c r="B608" s="3" t="s">
        <v>37</v>
      </c>
      <c r="C608" s="3" t="s">
        <v>38</v>
      </c>
      <c r="D608" s="4">
        <v>40000</v>
      </c>
      <c r="E608" s="3">
        <v>2</v>
      </c>
      <c r="F608" s="3" t="s">
        <v>13</v>
      </c>
      <c r="G608" s="3" t="s">
        <v>14</v>
      </c>
      <c r="H608" s="3" t="s">
        <v>15</v>
      </c>
      <c r="I608" s="3">
        <v>0</v>
      </c>
      <c r="J608" s="3" t="s">
        <v>22</v>
      </c>
      <c r="K608" s="3" t="s">
        <v>32</v>
      </c>
      <c r="L608" s="3">
        <v>36</v>
      </c>
      <c r="M608" s="3" t="s">
        <v>53</v>
      </c>
      <c r="N608" s="3" t="s">
        <v>49</v>
      </c>
      <c r="O608" s="3" t="s">
        <v>18</v>
      </c>
    </row>
    <row r="609" spans="1:15" x14ac:dyDescent="0.25">
      <c r="A609" s="3">
        <v>16145</v>
      </c>
      <c r="B609" s="3" t="s">
        <v>37</v>
      </c>
      <c r="C609" s="3" t="s">
        <v>39</v>
      </c>
      <c r="D609" s="4">
        <v>70000</v>
      </c>
      <c r="E609" s="3">
        <v>5</v>
      </c>
      <c r="F609" s="3" t="s">
        <v>31</v>
      </c>
      <c r="G609" s="3" t="s">
        <v>21</v>
      </c>
      <c r="H609" s="3" t="s">
        <v>15</v>
      </c>
      <c r="I609" s="3">
        <v>3</v>
      </c>
      <c r="J609" s="3" t="s">
        <v>46</v>
      </c>
      <c r="K609" s="3" t="s">
        <v>32</v>
      </c>
      <c r="L609" s="3">
        <v>46</v>
      </c>
      <c r="M609" s="3" t="s">
        <v>51</v>
      </c>
      <c r="N609" s="3" t="s">
        <v>48</v>
      </c>
      <c r="O609" s="3" t="s">
        <v>15</v>
      </c>
    </row>
    <row r="610" spans="1:15" x14ac:dyDescent="0.25">
      <c r="A610" s="3">
        <v>16890</v>
      </c>
      <c r="B610" s="3" t="s">
        <v>36</v>
      </c>
      <c r="C610" s="3" t="s">
        <v>38</v>
      </c>
      <c r="D610" s="4">
        <v>60000</v>
      </c>
      <c r="E610" s="3">
        <v>3</v>
      </c>
      <c r="F610" s="3" t="s">
        <v>29</v>
      </c>
      <c r="G610" s="3" t="s">
        <v>14</v>
      </c>
      <c r="H610" s="3" t="s">
        <v>15</v>
      </c>
      <c r="I610" s="3">
        <v>2</v>
      </c>
      <c r="J610" s="3" t="s">
        <v>23</v>
      </c>
      <c r="K610" s="3" t="s">
        <v>32</v>
      </c>
      <c r="L610" s="3">
        <v>52</v>
      </c>
      <c r="M610" s="3" t="s">
        <v>51</v>
      </c>
      <c r="N610" s="3" t="s">
        <v>48</v>
      </c>
      <c r="O610" s="3" t="s">
        <v>15</v>
      </c>
    </row>
    <row r="611" spans="1:15" x14ac:dyDescent="0.25">
      <c r="A611" s="3">
        <v>25983</v>
      </c>
      <c r="B611" s="3" t="s">
        <v>36</v>
      </c>
      <c r="C611" s="3" t="s">
        <v>38</v>
      </c>
      <c r="D611" s="4">
        <v>70000</v>
      </c>
      <c r="E611" s="3">
        <v>0</v>
      </c>
      <c r="F611" s="3" t="s">
        <v>13</v>
      </c>
      <c r="G611" s="3" t="s">
        <v>21</v>
      </c>
      <c r="H611" s="3" t="s">
        <v>18</v>
      </c>
      <c r="I611" s="3">
        <v>1</v>
      </c>
      <c r="J611" s="3" t="s">
        <v>16</v>
      </c>
      <c r="K611" s="3" t="s">
        <v>32</v>
      </c>
      <c r="L611" s="3">
        <v>43</v>
      </c>
      <c r="M611" s="3" t="s">
        <v>53</v>
      </c>
      <c r="N611" s="3" t="s">
        <v>49</v>
      </c>
      <c r="O611" s="3" t="s">
        <v>18</v>
      </c>
    </row>
    <row r="612" spans="1:15" x14ac:dyDescent="0.25">
      <c r="A612" s="3">
        <v>14633</v>
      </c>
      <c r="B612" s="3" t="s">
        <v>36</v>
      </c>
      <c r="C612" s="3" t="s">
        <v>38</v>
      </c>
      <c r="D612" s="4">
        <v>60000</v>
      </c>
      <c r="E612" s="3">
        <v>1</v>
      </c>
      <c r="F612" s="3" t="s">
        <v>19</v>
      </c>
      <c r="G612" s="3" t="s">
        <v>14</v>
      </c>
      <c r="H612" s="3" t="s">
        <v>15</v>
      </c>
      <c r="I612" s="3">
        <v>1</v>
      </c>
      <c r="J612" s="3" t="s">
        <v>22</v>
      </c>
      <c r="K612" s="3" t="s">
        <v>32</v>
      </c>
      <c r="L612" s="3">
        <v>44</v>
      </c>
      <c r="M612" s="3" t="s">
        <v>53</v>
      </c>
      <c r="N612" s="3" t="s">
        <v>49</v>
      </c>
      <c r="O612" s="3" t="s">
        <v>18</v>
      </c>
    </row>
    <row r="613" spans="1:15" x14ac:dyDescent="0.25">
      <c r="A613" s="3">
        <v>22994</v>
      </c>
      <c r="B613" s="3" t="s">
        <v>36</v>
      </c>
      <c r="C613" s="3" t="s">
        <v>39</v>
      </c>
      <c r="D613" s="4">
        <v>80000</v>
      </c>
      <c r="E613" s="3">
        <v>0</v>
      </c>
      <c r="F613" s="3" t="s">
        <v>13</v>
      </c>
      <c r="G613" s="3" t="s">
        <v>28</v>
      </c>
      <c r="H613" s="3" t="s">
        <v>15</v>
      </c>
      <c r="I613" s="3">
        <v>1</v>
      </c>
      <c r="J613" s="3" t="s">
        <v>26</v>
      </c>
      <c r="K613" s="3" t="s">
        <v>32</v>
      </c>
      <c r="L613" s="3">
        <v>34</v>
      </c>
      <c r="M613" s="3" t="s">
        <v>53</v>
      </c>
      <c r="N613" s="3" t="s">
        <v>49</v>
      </c>
      <c r="O613" s="3" t="s">
        <v>15</v>
      </c>
    </row>
    <row r="614" spans="1:15" x14ac:dyDescent="0.25">
      <c r="A614" s="3">
        <v>22983</v>
      </c>
      <c r="B614" s="3" t="s">
        <v>37</v>
      </c>
      <c r="C614" s="3" t="s">
        <v>39</v>
      </c>
      <c r="D614" s="4">
        <v>30000</v>
      </c>
      <c r="E614" s="3">
        <v>0</v>
      </c>
      <c r="F614" s="3" t="s">
        <v>29</v>
      </c>
      <c r="G614" s="3" t="s">
        <v>20</v>
      </c>
      <c r="H614" s="3" t="s">
        <v>15</v>
      </c>
      <c r="I614" s="3">
        <v>2</v>
      </c>
      <c r="J614" s="3" t="s">
        <v>23</v>
      </c>
      <c r="K614" s="3" t="s">
        <v>32</v>
      </c>
      <c r="L614" s="3">
        <v>27</v>
      </c>
      <c r="M614" s="3" t="s">
        <v>53</v>
      </c>
      <c r="N614" s="3" t="s">
        <v>49</v>
      </c>
      <c r="O614" s="3" t="s">
        <v>18</v>
      </c>
    </row>
    <row r="615" spans="1:15" x14ac:dyDescent="0.25">
      <c r="A615" s="3">
        <v>25184</v>
      </c>
      <c r="B615" s="3" t="s">
        <v>37</v>
      </c>
      <c r="C615" s="3" t="s">
        <v>38</v>
      </c>
      <c r="D615" s="4">
        <v>110000</v>
      </c>
      <c r="E615" s="3">
        <v>1</v>
      </c>
      <c r="F615" s="3" t="s">
        <v>19</v>
      </c>
      <c r="G615" s="3" t="s">
        <v>21</v>
      </c>
      <c r="H615" s="3" t="s">
        <v>15</v>
      </c>
      <c r="I615" s="3">
        <v>4</v>
      </c>
      <c r="J615" s="3" t="s">
        <v>23</v>
      </c>
      <c r="K615" s="3" t="s">
        <v>32</v>
      </c>
      <c r="L615" s="3">
        <v>45</v>
      </c>
      <c r="M615" s="3" t="s">
        <v>51</v>
      </c>
      <c r="N615" s="3" t="s">
        <v>48</v>
      </c>
      <c r="O615" s="3" t="s">
        <v>15</v>
      </c>
    </row>
    <row r="616" spans="1:15" x14ac:dyDescent="0.25">
      <c r="A616" s="3">
        <v>14469</v>
      </c>
      <c r="B616" s="3" t="s">
        <v>36</v>
      </c>
      <c r="C616" s="3" t="s">
        <v>39</v>
      </c>
      <c r="D616" s="4">
        <v>100000</v>
      </c>
      <c r="E616" s="3">
        <v>3</v>
      </c>
      <c r="F616" s="3" t="s">
        <v>19</v>
      </c>
      <c r="G616" s="3" t="s">
        <v>21</v>
      </c>
      <c r="H616" s="3" t="s">
        <v>15</v>
      </c>
      <c r="I616" s="3">
        <v>4</v>
      </c>
      <c r="J616" s="3" t="s">
        <v>26</v>
      </c>
      <c r="K616" s="3" t="s">
        <v>32</v>
      </c>
      <c r="L616" s="3">
        <v>45</v>
      </c>
      <c r="M616" s="3" t="s">
        <v>51</v>
      </c>
      <c r="N616" s="3" t="s">
        <v>48</v>
      </c>
      <c r="O616" s="3" t="s">
        <v>18</v>
      </c>
    </row>
    <row r="617" spans="1:15" x14ac:dyDescent="0.25">
      <c r="A617" s="3">
        <v>11538</v>
      </c>
      <c r="B617" s="3" t="s">
        <v>37</v>
      </c>
      <c r="C617" s="3" t="s">
        <v>39</v>
      </c>
      <c r="D617" s="4">
        <v>60000</v>
      </c>
      <c r="E617" s="3">
        <v>4</v>
      </c>
      <c r="F617" s="3" t="s">
        <v>31</v>
      </c>
      <c r="G617" s="3" t="s">
        <v>14</v>
      </c>
      <c r="H617" s="3" t="s">
        <v>18</v>
      </c>
      <c r="I617" s="3">
        <v>0</v>
      </c>
      <c r="J617" s="3" t="s">
        <v>16</v>
      </c>
      <c r="K617" s="3" t="s">
        <v>32</v>
      </c>
      <c r="L617" s="3">
        <v>47</v>
      </c>
      <c r="M617" s="3" t="s">
        <v>51</v>
      </c>
      <c r="N617" s="3" t="s">
        <v>48</v>
      </c>
      <c r="O617" s="3" t="s">
        <v>15</v>
      </c>
    </row>
    <row r="618" spans="1:15" x14ac:dyDescent="0.25">
      <c r="A618" s="3">
        <v>16245</v>
      </c>
      <c r="B618" s="3" t="s">
        <v>37</v>
      </c>
      <c r="C618" s="3" t="s">
        <v>39</v>
      </c>
      <c r="D618" s="4">
        <v>80000</v>
      </c>
      <c r="E618" s="3">
        <v>4</v>
      </c>
      <c r="F618" s="3" t="s">
        <v>31</v>
      </c>
      <c r="G618" s="3" t="s">
        <v>14</v>
      </c>
      <c r="H618" s="3" t="s">
        <v>15</v>
      </c>
      <c r="I618" s="3">
        <v>0</v>
      </c>
      <c r="J618" s="3" t="s">
        <v>26</v>
      </c>
      <c r="K618" s="3" t="s">
        <v>32</v>
      </c>
      <c r="L618" s="3">
        <v>47</v>
      </c>
      <c r="M618" s="3" t="s">
        <v>51</v>
      </c>
      <c r="N618" s="3" t="s">
        <v>48</v>
      </c>
      <c r="O618" s="3" t="s">
        <v>18</v>
      </c>
    </row>
    <row r="619" spans="1:15" x14ac:dyDescent="0.25">
      <c r="A619" s="3">
        <v>17858</v>
      </c>
      <c r="B619" s="3" t="s">
        <v>36</v>
      </c>
      <c r="C619" s="3" t="s">
        <v>38</v>
      </c>
      <c r="D619" s="4">
        <v>40000</v>
      </c>
      <c r="E619" s="3">
        <v>4</v>
      </c>
      <c r="F619" s="3" t="s">
        <v>27</v>
      </c>
      <c r="G619" s="3" t="s">
        <v>14</v>
      </c>
      <c r="H619" s="3" t="s">
        <v>15</v>
      </c>
      <c r="I619" s="3">
        <v>2</v>
      </c>
      <c r="J619" s="3" t="s">
        <v>22</v>
      </c>
      <c r="K619" s="3" t="s">
        <v>32</v>
      </c>
      <c r="L619" s="3">
        <v>44</v>
      </c>
      <c r="M619" s="3" t="s">
        <v>53</v>
      </c>
      <c r="N619" s="3" t="s">
        <v>49</v>
      </c>
      <c r="O619" s="3" t="s">
        <v>15</v>
      </c>
    </row>
    <row r="620" spans="1:15" x14ac:dyDescent="0.25">
      <c r="A620" s="3">
        <v>25347</v>
      </c>
      <c r="B620" s="3" t="s">
        <v>37</v>
      </c>
      <c r="C620" s="3" t="s">
        <v>39</v>
      </c>
      <c r="D620" s="4">
        <v>20000</v>
      </c>
      <c r="E620" s="3">
        <v>3</v>
      </c>
      <c r="F620" s="3" t="s">
        <v>29</v>
      </c>
      <c r="G620" s="3" t="s">
        <v>20</v>
      </c>
      <c r="H620" s="3" t="s">
        <v>18</v>
      </c>
      <c r="I620" s="3">
        <v>2</v>
      </c>
      <c r="J620" s="3" t="s">
        <v>16</v>
      </c>
      <c r="K620" s="3" t="s">
        <v>32</v>
      </c>
      <c r="L620" s="3">
        <v>49</v>
      </c>
      <c r="M620" s="3" t="s">
        <v>51</v>
      </c>
      <c r="N620" s="3" t="s">
        <v>48</v>
      </c>
      <c r="O620" s="3" t="s">
        <v>18</v>
      </c>
    </row>
    <row r="621" spans="1:15" x14ac:dyDescent="0.25">
      <c r="A621" s="3">
        <v>15814</v>
      </c>
      <c r="B621" s="3" t="s">
        <v>37</v>
      </c>
      <c r="C621" s="3" t="s">
        <v>39</v>
      </c>
      <c r="D621" s="4">
        <v>40000</v>
      </c>
      <c r="E621" s="3">
        <v>0</v>
      </c>
      <c r="F621" s="3" t="s">
        <v>27</v>
      </c>
      <c r="G621" s="3" t="s">
        <v>14</v>
      </c>
      <c r="H621" s="3" t="s">
        <v>15</v>
      </c>
      <c r="I621" s="3">
        <v>1</v>
      </c>
      <c r="J621" s="3" t="s">
        <v>23</v>
      </c>
      <c r="K621" s="3" t="s">
        <v>32</v>
      </c>
      <c r="L621" s="3">
        <v>30</v>
      </c>
      <c r="M621" s="3" t="s">
        <v>53</v>
      </c>
      <c r="N621" s="3" t="s">
        <v>49</v>
      </c>
      <c r="O621" s="3" t="s">
        <v>18</v>
      </c>
    </row>
    <row r="622" spans="1:15" x14ac:dyDescent="0.25">
      <c r="A622" s="3">
        <v>11259</v>
      </c>
      <c r="B622" s="3" t="s">
        <v>36</v>
      </c>
      <c r="C622" s="3" t="s">
        <v>39</v>
      </c>
      <c r="D622" s="4">
        <v>100000</v>
      </c>
      <c r="E622" s="3">
        <v>4</v>
      </c>
      <c r="F622" s="3" t="s">
        <v>19</v>
      </c>
      <c r="G622" s="3" t="s">
        <v>21</v>
      </c>
      <c r="H622" s="3" t="s">
        <v>15</v>
      </c>
      <c r="I622" s="3">
        <v>4</v>
      </c>
      <c r="J622" s="3" t="s">
        <v>22</v>
      </c>
      <c r="K622" s="3" t="s">
        <v>32</v>
      </c>
      <c r="L622" s="3">
        <v>41</v>
      </c>
      <c r="M622" s="3" t="s">
        <v>53</v>
      </c>
      <c r="N622" s="3" t="s">
        <v>49</v>
      </c>
      <c r="O622" s="3" t="s">
        <v>15</v>
      </c>
    </row>
    <row r="623" spans="1:15" x14ac:dyDescent="0.25">
      <c r="A623" s="3">
        <v>11200</v>
      </c>
      <c r="B623" s="3" t="s">
        <v>36</v>
      </c>
      <c r="C623" s="3" t="s">
        <v>38</v>
      </c>
      <c r="D623" s="4">
        <v>70000</v>
      </c>
      <c r="E623" s="3">
        <v>4</v>
      </c>
      <c r="F623" s="3" t="s">
        <v>13</v>
      </c>
      <c r="G623" s="3" t="s">
        <v>28</v>
      </c>
      <c r="H623" s="3" t="s">
        <v>15</v>
      </c>
      <c r="I623" s="3">
        <v>1</v>
      </c>
      <c r="J623" s="3" t="s">
        <v>26</v>
      </c>
      <c r="K623" s="3" t="s">
        <v>32</v>
      </c>
      <c r="L623" s="3">
        <v>58</v>
      </c>
      <c r="M623" s="3" t="s">
        <v>54</v>
      </c>
      <c r="N623" s="3" t="s">
        <v>50</v>
      </c>
      <c r="O623" s="3" t="s">
        <v>18</v>
      </c>
    </row>
    <row r="624" spans="1:15" x14ac:dyDescent="0.25">
      <c r="A624" s="3">
        <v>25101</v>
      </c>
      <c r="B624" s="3" t="s">
        <v>36</v>
      </c>
      <c r="C624" s="3" t="s">
        <v>38</v>
      </c>
      <c r="D624" s="4">
        <v>60000</v>
      </c>
      <c r="E624" s="3">
        <v>5</v>
      </c>
      <c r="F624" s="3" t="s">
        <v>13</v>
      </c>
      <c r="G624" s="3" t="s">
        <v>21</v>
      </c>
      <c r="H624" s="3" t="s">
        <v>15</v>
      </c>
      <c r="I624" s="3">
        <v>1</v>
      </c>
      <c r="J624" s="3" t="s">
        <v>22</v>
      </c>
      <c r="K624" s="3" t="s">
        <v>32</v>
      </c>
      <c r="L624" s="3">
        <v>47</v>
      </c>
      <c r="M624" s="3" t="s">
        <v>51</v>
      </c>
      <c r="N624" s="3" t="s">
        <v>48</v>
      </c>
      <c r="O624" s="3" t="s">
        <v>18</v>
      </c>
    </row>
    <row r="625" spans="1:15" x14ac:dyDescent="0.25">
      <c r="A625" s="3">
        <v>21801</v>
      </c>
      <c r="B625" s="3" t="s">
        <v>36</v>
      </c>
      <c r="C625" s="3" t="s">
        <v>39</v>
      </c>
      <c r="D625" s="4">
        <v>70000</v>
      </c>
      <c r="E625" s="3">
        <v>4</v>
      </c>
      <c r="F625" s="3" t="s">
        <v>19</v>
      </c>
      <c r="G625" s="3" t="s">
        <v>21</v>
      </c>
      <c r="H625" s="3" t="s">
        <v>15</v>
      </c>
      <c r="I625" s="3">
        <v>1</v>
      </c>
      <c r="J625" s="3" t="s">
        <v>26</v>
      </c>
      <c r="K625" s="3" t="s">
        <v>32</v>
      </c>
      <c r="L625" s="3">
        <v>55</v>
      </c>
      <c r="M625" s="3" t="s">
        <v>52</v>
      </c>
      <c r="N625" s="3" t="s">
        <v>47</v>
      </c>
      <c r="O625" s="3" t="s">
        <v>18</v>
      </c>
    </row>
    <row r="626" spans="1:15" x14ac:dyDescent="0.25">
      <c r="A626" s="3">
        <v>25943</v>
      </c>
      <c r="B626" s="3" t="s">
        <v>37</v>
      </c>
      <c r="C626" s="3" t="s">
        <v>39</v>
      </c>
      <c r="D626" s="4">
        <v>70000</v>
      </c>
      <c r="E626" s="3">
        <v>0</v>
      </c>
      <c r="F626" s="3" t="s">
        <v>19</v>
      </c>
      <c r="G626" s="3" t="s">
        <v>14</v>
      </c>
      <c r="H626" s="3" t="s">
        <v>18</v>
      </c>
      <c r="I626" s="3">
        <v>2</v>
      </c>
      <c r="J626" s="3" t="s">
        <v>16</v>
      </c>
      <c r="K626" s="3" t="s">
        <v>32</v>
      </c>
      <c r="L626" s="3">
        <v>27</v>
      </c>
      <c r="M626" s="3" t="s">
        <v>53</v>
      </c>
      <c r="N626" s="3" t="s">
        <v>49</v>
      </c>
      <c r="O626" s="3" t="s">
        <v>15</v>
      </c>
    </row>
    <row r="627" spans="1:15" x14ac:dyDescent="0.25">
      <c r="A627" s="3">
        <v>22127</v>
      </c>
      <c r="B627" s="3" t="s">
        <v>36</v>
      </c>
      <c r="C627" s="3" t="s">
        <v>38</v>
      </c>
      <c r="D627" s="4">
        <v>60000</v>
      </c>
      <c r="E627" s="3">
        <v>3</v>
      </c>
      <c r="F627" s="3" t="s">
        <v>31</v>
      </c>
      <c r="G627" s="3" t="s">
        <v>28</v>
      </c>
      <c r="H627" s="3" t="s">
        <v>15</v>
      </c>
      <c r="I627" s="3">
        <v>2</v>
      </c>
      <c r="J627" s="3" t="s">
        <v>26</v>
      </c>
      <c r="K627" s="3" t="s">
        <v>32</v>
      </c>
      <c r="L627" s="3">
        <v>67</v>
      </c>
      <c r="M627" s="3" t="s">
        <v>54</v>
      </c>
      <c r="N627" s="3" t="s">
        <v>50</v>
      </c>
      <c r="O627" s="3" t="s">
        <v>18</v>
      </c>
    </row>
    <row r="628" spans="1:15" x14ac:dyDescent="0.25">
      <c r="A628" s="3">
        <v>20414</v>
      </c>
      <c r="B628" s="3" t="s">
        <v>36</v>
      </c>
      <c r="C628" s="3" t="s">
        <v>39</v>
      </c>
      <c r="D628" s="4">
        <v>60000</v>
      </c>
      <c r="E628" s="3">
        <v>0</v>
      </c>
      <c r="F628" s="3" t="s">
        <v>19</v>
      </c>
      <c r="G628" s="3" t="s">
        <v>14</v>
      </c>
      <c r="H628" s="3" t="s">
        <v>15</v>
      </c>
      <c r="I628" s="3">
        <v>2</v>
      </c>
      <c r="J628" s="3" t="s">
        <v>23</v>
      </c>
      <c r="K628" s="3" t="s">
        <v>32</v>
      </c>
      <c r="L628" s="3">
        <v>29</v>
      </c>
      <c r="M628" s="3" t="s">
        <v>53</v>
      </c>
      <c r="N628" s="3" t="s">
        <v>49</v>
      </c>
      <c r="O628" s="3" t="s">
        <v>18</v>
      </c>
    </row>
    <row r="629" spans="1:15" x14ac:dyDescent="0.25">
      <c r="A629" s="3">
        <v>23672</v>
      </c>
      <c r="B629" s="3" t="s">
        <v>36</v>
      </c>
      <c r="C629" s="3" t="s">
        <v>39</v>
      </c>
      <c r="D629" s="4">
        <v>60000</v>
      </c>
      <c r="E629" s="3">
        <v>3</v>
      </c>
      <c r="F629" s="3" t="s">
        <v>31</v>
      </c>
      <c r="G629" s="3" t="s">
        <v>28</v>
      </c>
      <c r="H629" s="3" t="s">
        <v>15</v>
      </c>
      <c r="I629" s="3">
        <v>2</v>
      </c>
      <c r="J629" s="3" t="s">
        <v>26</v>
      </c>
      <c r="K629" s="3" t="s">
        <v>32</v>
      </c>
      <c r="L629" s="3">
        <v>67</v>
      </c>
      <c r="M629" s="3" t="s">
        <v>54</v>
      </c>
      <c r="N629" s="3" t="s">
        <v>50</v>
      </c>
      <c r="O629" s="3" t="s">
        <v>18</v>
      </c>
    </row>
    <row r="630" spans="1:15" x14ac:dyDescent="0.25">
      <c r="A630" s="3">
        <v>29255</v>
      </c>
      <c r="B630" s="3" t="s">
        <v>37</v>
      </c>
      <c r="C630" s="3" t="s">
        <v>38</v>
      </c>
      <c r="D630" s="4">
        <v>80000</v>
      </c>
      <c r="E630" s="3">
        <v>3</v>
      </c>
      <c r="F630" s="3" t="s">
        <v>19</v>
      </c>
      <c r="G630" s="3" t="s">
        <v>21</v>
      </c>
      <c r="H630" s="3" t="s">
        <v>18</v>
      </c>
      <c r="I630" s="3">
        <v>1</v>
      </c>
      <c r="J630" s="3" t="s">
        <v>26</v>
      </c>
      <c r="K630" s="3" t="s">
        <v>32</v>
      </c>
      <c r="L630" s="3">
        <v>51</v>
      </c>
      <c r="M630" s="3" t="s">
        <v>51</v>
      </c>
      <c r="N630" s="3" t="s">
        <v>48</v>
      </c>
      <c r="O630" s="3" t="s">
        <v>15</v>
      </c>
    </row>
    <row r="631" spans="1:15" x14ac:dyDescent="0.25">
      <c r="A631" s="3">
        <v>28815</v>
      </c>
      <c r="B631" s="3" t="s">
        <v>36</v>
      </c>
      <c r="C631" s="3" t="s">
        <v>39</v>
      </c>
      <c r="D631" s="4">
        <v>50000</v>
      </c>
      <c r="E631" s="3">
        <v>1</v>
      </c>
      <c r="F631" s="3" t="s">
        <v>31</v>
      </c>
      <c r="G631" s="3" t="s">
        <v>14</v>
      </c>
      <c r="H631" s="3" t="s">
        <v>15</v>
      </c>
      <c r="I631" s="3">
        <v>0</v>
      </c>
      <c r="J631" s="3" t="s">
        <v>16</v>
      </c>
      <c r="K631" s="3" t="s">
        <v>32</v>
      </c>
      <c r="L631" s="3">
        <v>35</v>
      </c>
      <c r="M631" s="3" t="s">
        <v>53</v>
      </c>
      <c r="N631" s="3" t="s">
        <v>49</v>
      </c>
      <c r="O631" s="3" t="s">
        <v>18</v>
      </c>
    </row>
    <row r="632" spans="1:15" x14ac:dyDescent="0.25">
      <c r="A632" s="3">
        <v>27753</v>
      </c>
      <c r="B632" s="3" t="s">
        <v>36</v>
      </c>
      <c r="C632" s="3" t="s">
        <v>38</v>
      </c>
      <c r="D632" s="4">
        <v>40000</v>
      </c>
      <c r="E632" s="3">
        <v>0</v>
      </c>
      <c r="F632" s="3" t="s">
        <v>27</v>
      </c>
      <c r="G632" s="3" t="s">
        <v>14</v>
      </c>
      <c r="H632" s="3" t="s">
        <v>18</v>
      </c>
      <c r="I632" s="3">
        <v>2</v>
      </c>
      <c r="J632" s="3" t="s">
        <v>26</v>
      </c>
      <c r="K632" s="3" t="s">
        <v>32</v>
      </c>
      <c r="L632" s="3">
        <v>30</v>
      </c>
      <c r="M632" s="3" t="s">
        <v>53</v>
      </c>
      <c r="N632" s="3" t="s">
        <v>49</v>
      </c>
      <c r="O632" s="3" t="s">
        <v>18</v>
      </c>
    </row>
    <row r="633" spans="1:15" x14ac:dyDescent="0.25">
      <c r="A633" s="3">
        <v>27643</v>
      </c>
      <c r="B633" s="3" t="s">
        <v>37</v>
      </c>
      <c r="C633" s="3" t="s">
        <v>38</v>
      </c>
      <c r="D633" s="4">
        <v>70000</v>
      </c>
      <c r="E633" s="3">
        <v>5</v>
      </c>
      <c r="F633" s="3" t="s">
        <v>19</v>
      </c>
      <c r="G633" s="3" t="s">
        <v>21</v>
      </c>
      <c r="H633" s="3" t="s">
        <v>15</v>
      </c>
      <c r="I633" s="3">
        <v>3</v>
      </c>
      <c r="J633" s="3" t="s">
        <v>22</v>
      </c>
      <c r="K633" s="3" t="s">
        <v>32</v>
      </c>
      <c r="L633" s="3">
        <v>44</v>
      </c>
      <c r="M633" s="3" t="s">
        <v>53</v>
      </c>
      <c r="N633" s="3" t="s">
        <v>49</v>
      </c>
      <c r="O633" s="3" t="s">
        <v>18</v>
      </c>
    </row>
    <row r="634" spans="1:15" x14ac:dyDescent="0.25">
      <c r="A634" s="3">
        <v>13754</v>
      </c>
      <c r="B634" s="3" t="s">
        <v>37</v>
      </c>
      <c r="C634" s="3" t="s">
        <v>39</v>
      </c>
      <c r="D634" s="4">
        <v>80000</v>
      </c>
      <c r="E634" s="3">
        <v>4</v>
      </c>
      <c r="F634" s="3" t="s">
        <v>31</v>
      </c>
      <c r="G634" s="3" t="s">
        <v>14</v>
      </c>
      <c r="H634" s="3" t="s">
        <v>15</v>
      </c>
      <c r="I634" s="3">
        <v>0</v>
      </c>
      <c r="J634" s="3" t="s">
        <v>26</v>
      </c>
      <c r="K634" s="3" t="s">
        <v>32</v>
      </c>
      <c r="L634" s="3">
        <v>48</v>
      </c>
      <c r="M634" s="3" t="s">
        <v>51</v>
      </c>
      <c r="N634" s="3" t="s">
        <v>48</v>
      </c>
      <c r="O634" s="3" t="s">
        <v>18</v>
      </c>
    </row>
    <row r="635" spans="1:15" x14ac:dyDescent="0.25">
      <c r="A635" s="3">
        <v>22088</v>
      </c>
      <c r="B635" s="3" t="s">
        <v>36</v>
      </c>
      <c r="C635" s="3" t="s">
        <v>39</v>
      </c>
      <c r="D635" s="4">
        <v>130000</v>
      </c>
      <c r="E635" s="3">
        <v>1</v>
      </c>
      <c r="F635" s="3" t="s">
        <v>13</v>
      </c>
      <c r="G635" s="3" t="s">
        <v>28</v>
      </c>
      <c r="H635" s="3" t="s">
        <v>15</v>
      </c>
      <c r="I635" s="3">
        <v>2</v>
      </c>
      <c r="J635" s="3" t="s">
        <v>16</v>
      </c>
      <c r="K635" s="3" t="s">
        <v>32</v>
      </c>
      <c r="L635" s="3">
        <v>45</v>
      </c>
      <c r="M635" s="3" t="s">
        <v>51</v>
      </c>
      <c r="N635" s="3" t="s">
        <v>48</v>
      </c>
      <c r="O635" s="3" t="s">
        <v>15</v>
      </c>
    </row>
    <row r="636" spans="1:15" x14ac:dyDescent="0.25">
      <c r="A636" s="3">
        <v>27388</v>
      </c>
      <c r="B636" s="3" t="s">
        <v>36</v>
      </c>
      <c r="C636" s="3" t="s">
        <v>38</v>
      </c>
      <c r="D636" s="4">
        <v>60000</v>
      </c>
      <c r="E636" s="3">
        <v>3</v>
      </c>
      <c r="F636" s="3" t="s">
        <v>13</v>
      </c>
      <c r="G636" s="3" t="s">
        <v>28</v>
      </c>
      <c r="H636" s="3" t="s">
        <v>18</v>
      </c>
      <c r="I636" s="3">
        <v>2</v>
      </c>
      <c r="J636" s="3" t="s">
        <v>26</v>
      </c>
      <c r="K636" s="3" t="s">
        <v>32</v>
      </c>
      <c r="L636" s="3">
        <v>66</v>
      </c>
      <c r="M636" s="3" t="s">
        <v>54</v>
      </c>
      <c r="N636" s="3" t="s">
        <v>50</v>
      </c>
      <c r="O636" s="3" t="s">
        <v>18</v>
      </c>
    </row>
    <row r="637" spans="1:15" x14ac:dyDescent="0.25">
      <c r="A637" s="3">
        <v>24745</v>
      </c>
      <c r="B637" s="3" t="s">
        <v>37</v>
      </c>
      <c r="C637" s="3" t="s">
        <v>39</v>
      </c>
      <c r="D637" s="4">
        <v>30000</v>
      </c>
      <c r="E637" s="3">
        <v>2</v>
      </c>
      <c r="F637" s="3" t="s">
        <v>27</v>
      </c>
      <c r="G637" s="3" t="s">
        <v>14</v>
      </c>
      <c r="H637" s="3" t="s">
        <v>18</v>
      </c>
      <c r="I637" s="3">
        <v>2</v>
      </c>
      <c r="J637" s="3" t="s">
        <v>16</v>
      </c>
      <c r="K637" s="3" t="s">
        <v>32</v>
      </c>
      <c r="L637" s="3">
        <v>49</v>
      </c>
      <c r="M637" s="3" t="s">
        <v>51</v>
      </c>
      <c r="N637" s="3" t="s">
        <v>48</v>
      </c>
      <c r="O637" s="3" t="s">
        <v>18</v>
      </c>
    </row>
    <row r="638" spans="1:15" x14ac:dyDescent="0.25">
      <c r="A638" s="3">
        <v>29237</v>
      </c>
      <c r="B638" s="3" t="s">
        <v>37</v>
      </c>
      <c r="C638" s="3" t="s">
        <v>39</v>
      </c>
      <c r="D638" s="4">
        <v>120000</v>
      </c>
      <c r="E638" s="3">
        <v>4</v>
      </c>
      <c r="F638" s="3" t="s">
        <v>19</v>
      </c>
      <c r="G638" s="3" t="s">
        <v>21</v>
      </c>
      <c r="H638" s="3" t="s">
        <v>15</v>
      </c>
      <c r="I638" s="3">
        <v>3</v>
      </c>
      <c r="J638" s="3" t="s">
        <v>23</v>
      </c>
      <c r="K638" s="3" t="s">
        <v>32</v>
      </c>
      <c r="L638" s="3">
        <v>43</v>
      </c>
      <c r="M638" s="3" t="s">
        <v>53</v>
      </c>
      <c r="N638" s="3" t="s">
        <v>49</v>
      </c>
      <c r="O638" s="3" t="s">
        <v>15</v>
      </c>
    </row>
    <row r="639" spans="1:15" x14ac:dyDescent="0.25">
      <c r="A639" s="3">
        <v>15272</v>
      </c>
      <c r="B639" s="3" t="s">
        <v>37</v>
      </c>
      <c r="C639" s="3" t="s">
        <v>38</v>
      </c>
      <c r="D639" s="4">
        <v>40000</v>
      </c>
      <c r="E639" s="3">
        <v>0</v>
      </c>
      <c r="F639" s="3" t="s">
        <v>27</v>
      </c>
      <c r="G639" s="3" t="s">
        <v>14</v>
      </c>
      <c r="H639" s="3" t="s">
        <v>18</v>
      </c>
      <c r="I639" s="3">
        <v>2</v>
      </c>
      <c r="J639" s="3" t="s">
        <v>26</v>
      </c>
      <c r="K639" s="3" t="s">
        <v>32</v>
      </c>
      <c r="L639" s="3">
        <v>30</v>
      </c>
      <c r="M639" s="3" t="s">
        <v>53</v>
      </c>
      <c r="N639" s="3" t="s">
        <v>49</v>
      </c>
      <c r="O639" s="3" t="s">
        <v>18</v>
      </c>
    </row>
    <row r="640" spans="1:15" x14ac:dyDescent="0.25">
      <c r="A640" s="3">
        <v>18949</v>
      </c>
      <c r="B640" s="3" t="s">
        <v>37</v>
      </c>
      <c r="C640" s="3" t="s">
        <v>38</v>
      </c>
      <c r="D640" s="4">
        <v>70000</v>
      </c>
      <c r="E640" s="3">
        <v>0</v>
      </c>
      <c r="F640" s="3" t="s">
        <v>31</v>
      </c>
      <c r="G640" s="3" t="s">
        <v>28</v>
      </c>
      <c r="H640" s="3" t="s">
        <v>15</v>
      </c>
      <c r="I640" s="3">
        <v>2</v>
      </c>
      <c r="J640" s="3" t="s">
        <v>23</v>
      </c>
      <c r="K640" s="3" t="s">
        <v>32</v>
      </c>
      <c r="L640" s="3">
        <v>74</v>
      </c>
      <c r="M640" s="3" t="s">
        <v>54</v>
      </c>
      <c r="N640" s="3" t="s">
        <v>50</v>
      </c>
      <c r="O640" s="3" t="s">
        <v>15</v>
      </c>
    </row>
    <row r="641" spans="1:15" x14ac:dyDescent="0.25">
      <c r="A641" s="3">
        <v>14507</v>
      </c>
      <c r="B641" s="3" t="s">
        <v>36</v>
      </c>
      <c r="C641" s="3" t="s">
        <v>38</v>
      </c>
      <c r="D641" s="4">
        <v>100000</v>
      </c>
      <c r="E641" s="3">
        <v>2</v>
      </c>
      <c r="F641" s="3" t="s">
        <v>31</v>
      </c>
      <c r="G641" s="3" t="s">
        <v>28</v>
      </c>
      <c r="H641" s="3" t="s">
        <v>15</v>
      </c>
      <c r="I641" s="3">
        <v>3</v>
      </c>
      <c r="J641" s="3" t="s">
        <v>26</v>
      </c>
      <c r="K641" s="3" t="s">
        <v>32</v>
      </c>
      <c r="L641" s="3">
        <v>65</v>
      </c>
      <c r="M641" s="3" t="s">
        <v>54</v>
      </c>
      <c r="N641" s="3" t="s">
        <v>50</v>
      </c>
      <c r="O641" s="3" t="s">
        <v>18</v>
      </c>
    </row>
    <row r="642" spans="1:15" x14ac:dyDescent="0.25">
      <c r="A642" s="3">
        <v>25886</v>
      </c>
      <c r="B642" s="3" t="s">
        <v>36</v>
      </c>
      <c r="C642" s="3" t="s">
        <v>39</v>
      </c>
      <c r="D642" s="4">
        <v>60000</v>
      </c>
      <c r="E642" s="3">
        <v>2</v>
      </c>
      <c r="F642" s="3" t="s">
        <v>19</v>
      </c>
      <c r="G642" s="3" t="s">
        <v>21</v>
      </c>
      <c r="H642" s="3" t="s">
        <v>15</v>
      </c>
      <c r="I642" s="3">
        <v>2</v>
      </c>
      <c r="J642" s="3" t="s">
        <v>22</v>
      </c>
      <c r="K642" s="3" t="s">
        <v>32</v>
      </c>
      <c r="L642" s="3">
        <v>56</v>
      </c>
      <c r="M642" s="3" t="s">
        <v>54</v>
      </c>
      <c r="N642" s="3" t="s">
        <v>50</v>
      </c>
      <c r="O642" s="3" t="s">
        <v>15</v>
      </c>
    </row>
    <row r="643" spans="1:15" x14ac:dyDescent="0.25">
      <c r="A643" s="3">
        <v>21441</v>
      </c>
      <c r="B643" s="3" t="s">
        <v>36</v>
      </c>
      <c r="C643" s="3" t="s">
        <v>38</v>
      </c>
      <c r="D643" s="4">
        <v>50000</v>
      </c>
      <c r="E643" s="3">
        <v>4</v>
      </c>
      <c r="F643" s="3" t="s">
        <v>13</v>
      </c>
      <c r="G643" s="3" t="s">
        <v>28</v>
      </c>
      <c r="H643" s="3" t="s">
        <v>15</v>
      </c>
      <c r="I643" s="3">
        <v>2</v>
      </c>
      <c r="J643" s="3" t="s">
        <v>46</v>
      </c>
      <c r="K643" s="3" t="s">
        <v>32</v>
      </c>
      <c r="L643" s="3">
        <v>64</v>
      </c>
      <c r="M643" s="3" t="s">
        <v>54</v>
      </c>
      <c r="N643" s="3" t="s">
        <v>50</v>
      </c>
      <c r="O643" s="3" t="s">
        <v>18</v>
      </c>
    </row>
    <row r="644" spans="1:15" x14ac:dyDescent="0.25">
      <c r="A644" s="3">
        <v>21741</v>
      </c>
      <c r="B644" s="3" t="s">
        <v>36</v>
      </c>
      <c r="C644" s="3" t="s">
        <v>39</v>
      </c>
      <c r="D644" s="4">
        <v>70000</v>
      </c>
      <c r="E644" s="3">
        <v>3</v>
      </c>
      <c r="F644" s="3" t="s">
        <v>19</v>
      </c>
      <c r="G644" s="3" t="s">
        <v>21</v>
      </c>
      <c r="H644" s="3" t="s">
        <v>15</v>
      </c>
      <c r="I644" s="3">
        <v>2</v>
      </c>
      <c r="J644" s="3" t="s">
        <v>23</v>
      </c>
      <c r="K644" s="3" t="s">
        <v>32</v>
      </c>
      <c r="L644" s="3">
        <v>50</v>
      </c>
      <c r="M644" s="3" t="s">
        <v>51</v>
      </c>
      <c r="N644" s="3" t="s">
        <v>48</v>
      </c>
      <c r="O644" s="3" t="s">
        <v>15</v>
      </c>
    </row>
    <row r="645" spans="1:15" x14ac:dyDescent="0.25">
      <c r="A645" s="3">
        <v>14572</v>
      </c>
      <c r="B645" s="3" t="s">
        <v>36</v>
      </c>
      <c r="C645" s="3" t="s">
        <v>39</v>
      </c>
      <c r="D645" s="4">
        <v>70000</v>
      </c>
      <c r="E645" s="3">
        <v>3</v>
      </c>
      <c r="F645" s="3" t="s">
        <v>31</v>
      </c>
      <c r="G645" s="3" t="s">
        <v>21</v>
      </c>
      <c r="H645" s="3" t="s">
        <v>15</v>
      </c>
      <c r="I645" s="3">
        <v>0</v>
      </c>
      <c r="J645" s="3" t="s">
        <v>22</v>
      </c>
      <c r="K645" s="3" t="s">
        <v>32</v>
      </c>
      <c r="L645" s="3">
        <v>35</v>
      </c>
      <c r="M645" s="3" t="s">
        <v>53</v>
      </c>
      <c r="N645" s="3" t="s">
        <v>49</v>
      </c>
      <c r="O645" s="3" t="s">
        <v>15</v>
      </c>
    </row>
    <row r="646" spans="1:15" x14ac:dyDescent="0.25">
      <c r="A646" s="3">
        <v>23368</v>
      </c>
      <c r="B646" s="3" t="s">
        <v>36</v>
      </c>
      <c r="C646" s="3" t="s">
        <v>39</v>
      </c>
      <c r="D646" s="4">
        <v>60000</v>
      </c>
      <c r="E646" s="3">
        <v>5</v>
      </c>
      <c r="F646" s="3" t="s">
        <v>13</v>
      </c>
      <c r="G646" s="3" t="s">
        <v>14</v>
      </c>
      <c r="H646" s="3" t="s">
        <v>15</v>
      </c>
      <c r="I646" s="3">
        <v>3</v>
      </c>
      <c r="J646" s="3" t="s">
        <v>46</v>
      </c>
      <c r="K646" s="3" t="s">
        <v>32</v>
      </c>
      <c r="L646" s="3">
        <v>41</v>
      </c>
      <c r="M646" s="3" t="s">
        <v>53</v>
      </c>
      <c r="N646" s="3" t="s">
        <v>49</v>
      </c>
      <c r="O646" s="3" t="s">
        <v>18</v>
      </c>
    </row>
    <row r="647" spans="1:15" x14ac:dyDescent="0.25">
      <c r="A647" s="3">
        <v>16217</v>
      </c>
      <c r="B647" s="3" t="s">
        <v>37</v>
      </c>
      <c r="C647" s="3" t="s">
        <v>39</v>
      </c>
      <c r="D647" s="4">
        <v>60000</v>
      </c>
      <c r="E647" s="3">
        <v>0</v>
      </c>
      <c r="F647" s="3" t="s">
        <v>31</v>
      </c>
      <c r="G647" s="3" t="s">
        <v>14</v>
      </c>
      <c r="H647" s="3" t="s">
        <v>15</v>
      </c>
      <c r="I647" s="3">
        <v>0</v>
      </c>
      <c r="J647" s="3" t="s">
        <v>16</v>
      </c>
      <c r="K647" s="3" t="s">
        <v>32</v>
      </c>
      <c r="L647" s="3">
        <v>39</v>
      </c>
      <c r="M647" s="3" t="s">
        <v>53</v>
      </c>
      <c r="N647" s="3" t="s">
        <v>49</v>
      </c>
      <c r="O647" s="3" t="s">
        <v>18</v>
      </c>
    </row>
    <row r="648" spans="1:15" x14ac:dyDescent="0.25">
      <c r="A648" s="3">
        <v>16247</v>
      </c>
      <c r="B648" s="3" t="s">
        <v>37</v>
      </c>
      <c r="C648" s="3" t="s">
        <v>39</v>
      </c>
      <c r="D648" s="4">
        <v>60000</v>
      </c>
      <c r="E648" s="3">
        <v>4</v>
      </c>
      <c r="F648" s="3" t="s">
        <v>31</v>
      </c>
      <c r="G648" s="3" t="s">
        <v>14</v>
      </c>
      <c r="H648" s="3" t="s">
        <v>18</v>
      </c>
      <c r="I648" s="3">
        <v>0</v>
      </c>
      <c r="J648" s="3" t="s">
        <v>26</v>
      </c>
      <c r="K648" s="3" t="s">
        <v>32</v>
      </c>
      <c r="L648" s="3">
        <v>47</v>
      </c>
      <c r="M648" s="3" t="s">
        <v>51</v>
      </c>
      <c r="N648" s="3" t="s">
        <v>48</v>
      </c>
      <c r="O648" s="3" t="s">
        <v>18</v>
      </c>
    </row>
    <row r="649" spans="1:15" x14ac:dyDescent="0.25">
      <c r="A649" s="3">
        <v>22010</v>
      </c>
      <c r="B649" s="3" t="s">
        <v>37</v>
      </c>
      <c r="C649" s="3" t="s">
        <v>38</v>
      </c>
      <c r="D649" s="4">
        <v>40000</v>
      </c>
      <c r="E649" s="3">
        <v>0</v>
      </c>
      <c r="F649" s="3" t="s">
        <v>27</v>
      </c>
      <c r="G649" s="3" t="s">
        <v>14</v>
      </c>
      <c r="H649" s="3" t="s">
        <v>15</v>
      </c>
      <c r="I649" s="3">
        <v>2</v>
      </c>
      <c r="J649" s="3" t="s">
        <v>23</v>
      </c>
      <c r="K649" s="3" t="s">
        <v>32</v>
      </c>
      <c r="L649" s="3">
        <v>31</v>
      </c>
      <c r="M649" s="3" t="s">
        <v>53</v>
      </c>
      <c r="N649" s="3" t="s">
        <v>49</v>
      </c>
      <c r="O649" s="3" t="s">
        <v>18</v>
      </c>
    </row>
    <row r="650" spans="1:15" x14ac:dyDescent="0.25">
      <c r="A650" s="3">
        <v>25872</v>
      </c>
      <c r="B650" s="3" t="s">
        <v>37</v>
      </c>
      <c r="C650" s="3" t="s">
        <v>39</v>
      </c>
      <c r="D650" s="4">
        <v>70000</v>
      </c>
      <c r="E650" s="3">
        <v>2</v>
      </c>
      <c r="F650" s="3" t="s">
        <v>13</v>
      </c>
      <c r="G650" s="3" t="s">
        <v>28</v>
      </c>
      <c r="H650" s="3" t="s">
        <v>18</v>
      </c>
      <c r="I650" s="3">
        <v>1</v>
      </c>
      <c r="J650" s="3" t="s">
        <v>22</v>
      </c>
      <c r="K650" s="3" t="s">
        <v>32</v>
      </c>
      <c r="L650" s="3">
        <v>58</v>
      </c>
      <c r="M650" s="3" t="s">
        <v>54</v>
      </c>
      <c r="N650" s="3" t="s">
        <v>50</v>
      </c>
      <c r="O650" s="3" t="s">
        <v>15</v>
      </c>
    </row>
    <row r="651" spans="1:15" x14ac:dyDescent="0.25">
      <c r="A651" s="3">
        <v>19164</v>
      </c>
      <c r="B651" s="3" t="s">
        <v>37</v>
      </c>
      <c r="C651" s="3" t="s">
        <v>39</v>
      </c>
      <c r="D651" s="4">
        <v>70000</v>
      </c>
      <c r="E651" s="3">
        <v>0</v>
      </c>
      <c r="F651" s="3" t="s">
        <v>13</v>
      </c>
      <c r="G651" s="3" t="s">
        <v>21</v>
      </c>
      <c r="H651" s="3" t="s">
        <v>18</v>
      </c>
      <c r="I651" s="3">
        <v>1</v>
      </c>
      <c r="J651" s="3" t="s">
        <v>22</v>
      </c>
      <c r="K651" s="3" t="s">
        <v>32</v>
      </c>
      <c r="L651" s="3">
        <v>38</v>
      </c>
      <c r="M651" s="3" t="s">
        <v>53</v>
      </c>
      <c r="N651" s="3" t="s">
        <v>49</v>
      </c>
      <c r="O651" s="3" t="s">
        <v>15</v>
      </c>
    </row>
    <row r="652" spans="1:15" x14ac:dyDescent="0.25">
      <c r="A652" s="3">
        <v>18435</v>
      </c>
      <c r="B652" s="3" t="s">
        <v>37</v>
      </c>
      <c r="C652" s="3" t="s">
        <v>39</v>
      </c>
      <c r="D652" s="4">
        <v>70000</v>
      </c>
      <c r="E652" s="3">
        <v>5</v>
      </c>
      <c r="F652" s="3" t="s">
        <v>31</v>
      </c>
      <c r="G652" s="3" t="s">
        <v>28</v>
      </c>
      <c r="H652" s="3" t="s">
        <v>15</v>
      </c>
      <c r="I652" s="3">
        <v>2</v>
      </c>
      <c r="J652" s="3" t="s">
        <v>46</v>
      </c>
      <c r="K652" s="3" t="s">
        <v>32</v>
      </c>
      <c r="L652" s="3">
        <v>67</v>
      </c>
      <c r="M652" s="3" t="s">
        <v>54</v>
      </c>
      <c r="N652" s="3" t="s">
        <v>50</v>
      </c>
      <c r="O652" s="3" t="s">
        <v>15</v>
      </c>
    </row>
    <row r="653" spans="1:15" x14ac:dyDescent="0.25">
      <c r="A653" s="3">
        <v>14284</v>
      </c>
      <c r="B653" s="3" t="s">
        <v>37</v>
      </c>
      <c r="C653" s="3" t="s">
        <v>38</v>
      </c>
      <c r="D653" s="4">
        <v>60000</v>
      </c>
      <c r="E653" s="3">
        <v>0</v>
      </c>
      <c r="F653" s="3" t="s">
        <v>19</v>
      </c>
      <c r="G653" s="3" t="s">
        <v>21</v>
      </c>
      <c r="H653" s="3" t="s">
        <v>18</v>
      </c>
      <c r="I653" s="3">
        <v>2</v>
      </c>
      <c r="J653" s="3" t="s">
        <v>26</v>
      </c>
      <c r="K653" s="3" t="s">
        <v>32</v>
      </c>
      <c r="L653" s="3">
        <v>32</v>
      </c>
      <c r="M653" s="3" t="s">
        <v>53</v>
      </c>
      <c r="N653" s="3" t="s">
        <v>49</v>
      </c>
      <c r="O653" s="3" t="s">
        <v>15</v>
      </c>
    </row>
    <row r="654" spans="1:15" x14ac:dyDescent="0.25">
      <c r="A654" s="3">
        <v>11287</v>
      </c>
      <c r="B654" s="3" t="s">
        <v>36</v>
      </c>
      <c r="C654" s="3" t="s">
        <v>38</v>
      </c>
      <c r="D654" s="4">
        <v>70000</v>
      </c>
      <c r="E654" s="3">
        <v>5</v>
      </c>
      <c r="F654" s="3" t="s">
        <v>19</v>
      </c>
      <c r="G654" s="3" t="s">
        <v>21</v>
      </c>
      <c r="H654" s="3" t="s">
        <v>18</v>
      </c>
      <c r="I654" s="3">
        <v>3</v>
      </c>
      <c r="J654" s="3" t="s">
        <v>23</v>
      </c>
      <c r="K654" s="3" t="s">
        <v>32</v>
      </c>
      <c r="L654" s="3">
        <v>45</v>
      </c>
      <c r="M654" s="3" t="s">
        <v>51</v>
      </c>
      <c r="N654" s="3" t="s">
        <v>48</v>
      </c>
      <c r="O654" s="3" t="s">
        <v>18</v>
      </c>
    </row>
    <row r="655" spans="1:15" x14ac:dyDescent="0.25">
      <c r="A655" s="3">
        <v>13066</v>
      </c>
      <c r="B655" s="3" t="s">
        <v>37</v>
      </c>
      <c r="C655" s="3" t="s">
        <v>38</v>
      </c>
      <c r="D655" s="4">
        <v>30000</v>
      </c>
      <c r="E655" s="3">
        <v>0</v>
      </c>
      <c r="F655" s="3" t="s">
        <v>27</v>
      </c>
      <c r="G655" s="3" t="s">
        <v>14</v>
      </c>
      <c r="H655" s="3" t="s">
        <v>18</v>
      </c>
      <c r="I655" s="3">
        <v>2</v>
      </c>
      <c r="J655" s="3" t="s">
        <v>26</v>
      </c>
      <c r="K655" s="3" t="s">
        <v>32</v>
      </c>
      <c r="L655" s="3">
        <v>31</v>
      </c>
      <c r="M655" s="3" t="s">
        <v>53</v>
      </c>
      <c r="N655" s="3" t="s">
        <v>49</v>
      </c>
      <c r="O655" s="3" t="s">
        <v>15</v>
      </c>
    </row>
    <row r="656" spans="1:15" x14ac:dyDescent="0.25">
      <c r="A656" s="3">
        <v>29106</v>
      </c>
      <c r="B656" s="3" t="s">
        <v>37</v>
      </c>
      <c r="C656" s="3" t="s">
        <v>38</v>
      </c>
      <c r="D656" s="4">
        <v>40000</v>
      </c>
      <c r="E656" s="3">
        <v>0</v>
      </c>
      <c r="F656" s="3" t="s">
        <v>27</v>
      </c>
      <c r="G656" s="3" t="s">
        <v>14</v>
      </c>
      <c r="H656" s="3" t="s">
        <v>18</v>
      </c>
      <c r="I656" s="3">
        <v>2</v>
      </c>
      <c r="J656" s="3" t="s">
        <v>26</v>
      </c>
      <c r="K656" s="3" t="s">
        <v>32</v>
      </c>
      <c r="L656" s="3">
        <v>31</v>
      </c>
      <c r="M656" s="3" t="s">
        <v>53</v>
      </c>
      <c r="N656" s="3" t="s">
        <v>49</v>
      </c>
      <c r="O656" s="3" t="s">
        <v>15</v>
      </c>
    </row>
    <row r="657" spans="1:15" x14ac:dyDescent="0.25">
      <c r="A657" s="3">
        <v>26236</v>
      </c>
      <c r="B657" s="3" t="s">
        <v>36</v>
      </c>
      <c r="C657" s="3" t="s">
        <v>39</v>
      </c>
      <c r="D657" s="4">
        <v>40000</v>
      </c>
      <c r="E657" s="3">
        <v>3</v>
      </c>
      <c r="F657" s="3" t="s">
        <v>19</v>
      </c>
      <c r="G657" s="3" t="s">
        <v>20</v>
      </c>
      <c r="H657" s="3" t="s">
        <v>15</v>
      </c>
      <c r="I657" s="3">
        <v>1</v>
      </c>
      <c r="J657" s="3" t="s">
        <v>16</v>
      </c>
      <c r="K657" s="3" t="s">
        <v>32</v>
      </c>
      <c r="L657" s="3">
        <v>31</v>
      </c>
      <c r="M657" s="3" t="s">
        <v>53</v>
      </c>
      <c r="N657" s="3" t="s">
        <v>49</v>
      </c>
      <c r="O657" s="3" t="s">
        <v>18</v>
      </c>
    </row>
    <row r="658" spans="1:15" x14ac:dyDescent="0.25">
      <c r="A658" s="3">
        <v>17531</v>
      </c>
      <c r="B658" s="3" t="s">
        <v>36</v>
      </c>
      <c r="C658" s="3" t="s">
        <v>38</v>
      </c>
      <c r="D658" s="4">
        <v>60000</v>
      </c>
      <c r="E658" s="3">
        <v>2</v>
      </c>
      <c r="F658" s="3" t="s">
        <v>27</v>
      </c>
      <c r="G658" s="3" t="s">
        <v>21</v>
      </c>
      <c r="H658" s="3" t="s">
        <v>18</v>
      </c>
      <c r="I658" s="3">
        <v>2</v>
      </c>
      <c r="J658" s="3" t="s">
        <v>23</v>
      </c>
      <c r="K658" s="3" t="s">
        <v>32</v>
      </c>
      <c r="L658" s="3">
        <v>50</v>
      </c>
      <c r="M658" s="3" t="s">
        <v>51</v>
      </c>
      <c r="N658" s="3" t="s">
        <v>48</v>
      </c>
      <c r="O658" s="3" t="s">
        <v>18</v>
      </c>
    </row>
    <row r="659" spans="1:15" x14ac:dyDescent="0.25">
      <c r="A659" s="3">
        <v>12964</v>
      </c>
      <c r="B659" s="3" t="s">
        <v>36</v>
      </c>
      <c r="C659" s="3" t="s">
        <v>38</v>
      </c>
      <c r="D659" s="4">
        <v>70000</v>
      </c>
      <c r="E659" s="3">
        <v>1</v>
      </c>
      <c r="F659" s="3" t="s">
        <v>19</v>
      </c>
      <c r="G659" s="3" t="s">
        <v>14</v>
      </c>
      <c r="H659" s="3" t="s">
        <v>15</v>
      </c>
      <c r="I659" s="3">
        <v>1</v>
      </c>
      <c r="J659" s="3" t="s">
        <v>16</v>
      </c>
      <c r="K659" s="3" t="s">
        <v>32</v>
      </c>
      <c r="L659" s="3">
        <v>44</v>
      </c>
      <c r="M659" s="3" t="s">
        <v>53</v>
      </c>
      <c r="N659" s="3" t="s">
        <v>49</v>
      </c>
      <c r="O659" s="3" t="s">
        <v>18</v>
      </c>
    </row>
    <row r="660" spans="1:15" x14ac:dyDescent="0.25">
      <c r="A660" s="3">
        <v>19133</v>
      </c>
      <c r="B660" s="3" t="s">
        <v>37</v>
      </c>
      <c r="C660" s="3" t="s">
        <v>38</v>
      </c>
      <c r="D660" s="4">
        <v>50000</v>
      </c>
      <c r="E660" s="3">
        <v>2</v>
      </c>
      <c r="F660" s="3" t="s">
        <v>13</v>
      </c>
      <c r="G660" s="3" t="s">
        <v>14</v>
      </c>
      <c r="H660" s="3" t="s">
        <v>15</v>
      </c>
      <c r="I660" s="3">
        <v>1</v>
      </c>
      <c r="J660" s="3" t="s">
        <v>22</v>
      </c>
      <c r="K660" s="3" t="s">
        <v>32</v>
      </c>
      <c r="L660" s="3">
        <v>38</v>
      </c>
      <c r="M660" s="3" t="s">
        <v>53</v>
      </c>
      <c r="N660" s="3" t="s">
        <v>49</v>
      </c>
      <c r="O660" s="3" t="s">
        <v>15</v>
      </c>
    </row>
    <row r="661" spans="1:15" x14ac:dyDescent="0.25">
      <c r="A661" s="3">
        <v>24643</v>
      </c>
      <c r="B661" s="3" t="s">
        <v>37</v>
      </c>
      <c r="C661" s="3" t="s">
        <v>39</v>
      </c>
      <c r="D661" s="4">
        <v>60000</v>
      </c>
      <c r="E661" s="3">
        <v>4</v>
      </c>
      <c r="F661" s="3" t="s">
        <v>13</v>
      </c>
      <c r="G661" s="3" t="s">
        <v>28</v>
      </c>
      <c r="H661" s="3" t="s">
        <v>15</v>
      </c>
      <c r="I661" s="3">
        <v>2</v>
      </c>
      <c r="J661" s="3" t="s">
        <v>46</v>
      </c>
      <c r="K661" s="3" t="s">
        <v>32</v>
      </c>
      <c r="L661" s="3">
        <v>63</v>
      </c>
      <c r="M661" s="3" t="s">
        <v>54</v>
      </c>
      <c r="N661" s="3" t="s">
        <v>50</v>
      </c>
      <c r="O661" s="3" t="s">
        <v>18</v>
      </c>
    </row>
    <row r="662" spans="1:15" x14ac:dyDescent="0.25">
      <c r="A662" s="3">
        <v>21599</v>
      </c>
      <c r="B662" s="3" t="s">
        <v>36</v>
      </c>
      <c r="C662" s="3" t="s">
        <v>39</v>
      </c>
      <c r="D662" s="4">
        <v>60000</v>
      </c>
      <c r="E662" s="3">
        <v>1</v>
      </c>
      <c r="F662" s="3" t="s">
        <v>31</v>
      </c>
      <c r="G662" s="3" t="s">
        <v>21</v>
      </c>
      <c r="H662" s="3" t="s">
        <v>15</v>
      </c>
      <c r="I662" s="3">
        <v>0</v>
      </c>
      <c r="J662" s="3" t="s">
        <v>22</v>
      </c>
      <c r="K662" s="3" t="s">
        <v>32</v>
      </c>
      <c r="L662" s="3">
        <v>36</v>
      </c>
      <c r="M662" s="3" t="s">
        <v>53</v>
      </c>
      <c r="N662" s="3" t="s">
        <v>49</v>
      </c>
      <c r="O662" s="3" t="s">
        <v>15</v>
      </c>
    </row>
    <row r="663" spans="1:15" x14ac:dyDescent="0.25">
      <c r="A663" s="3">
        <v>22976</v>
      </c>
      <c r="B663" s="3" t="s">
        <v>37</v>
      </c>
      <c r="C663" s="3" t="s">
        <v>38</v>
      </c>
      <c r="D663" s="4">
        <v>40000</v>
      </c>
      <c r="E663" s="3">
        <v>0</v>
      </c>
      <c r="F663" s="3" t="s">
        <v>27</v>
      </c>
      <c r="G663" s="3" t="s">
        <v>14</v>
      </c>
      <c r="H663" s="3" t="s">
        <v>18</v>
      </c>
      <c r="I663" s="3">
        <v>2</v>
      </c>
      <c r="J663" s="3" t="s">
        <v>16</v>
      </c>
      <c r="K663" s="3" t="s">
        <v>32</v>
      </c>
      <c r="L663" s="3">
        <v>28</v>
      </c>
      <c r="M663" s="3" t="s">
        <v>53</v>
      </c>
      <c r="N663" s="3" t="s">
        <v>49</v>
      </c>
      <c r="O663" s="3" t="s">
        <v>15</v>
      </c>
    </row>
    <row r="664" spans="1:15" x14ac:dyDescent="0.25">
      <c r="A664" s="3">
        <v>27637</v>
      </c>
      <c r="B664" s="3" t="s">
        <v>37</v>
      </c>
      <c r="C664" s="3" t="s">
        <v>39</v>
      </c>
      <c r="D664" s="4">
        <v>100000</v>
      </c>
      <c r="E664" s="3">
        <v>1</v>
      </c>
      <c r="F664" s="3" t="s">
        <v>19</v>
      </c>
      <c r="G664" s="3" t="s">
        <v>21</v>
      </c>
      <c r="H664" s="3" t="s">
        <v>18</v>
      </c>
      <c r="I664" s="3">
        <v>3</v>
      </c>
      <c r="J664" s="3" t="s">
        <v>26</v>
      </c>
      <c r="K664" s="3" t="s">
        <v>32</v>
      </c>
      <c r="L664" s="3">
        <v>44</v>
      </c>
      <c r="M664" s="3" t="s">
        <v>53</v>
      </c>
      <c r="N664" s="3" t="s">
        <v>49</v>
      </c>
      <c r="O664" s="3" t="s">
        <v>18</v>
      </c>
    </row>
    <row r="665" spans="1:15" x14ac:dyDescent="0.25">
      <c r="A665" s="3">
        <v>11890</v>
      </c>
      <c r="B665" s="3" t="s">
        <v>36</v>
      </c>
      <c r="C665" s="3" t="s">
        <v>39</v>
      </c>
      <c r="D665" s="4">
        <v>70000</v>
      </c>
      <c r="E665" s="3">
        <v>5</v>
      </c>
      <c r="F665" s="3" t="s">
        <v>31</v>
      </c>
      <c r="G665" s="3" t="s">
        <v>21</v>
      </c>
      <c r="H665" s="3" t="s">
        <v>15</v>
      </c>
      <c r="I665" s="3">
        <v>1</v>
      </c>
      <c r="J665" s="3" t="s">
        <v>16</v>
      </c>
      <c r="K665" s="3" t="s">
        <v>32</v>
      </c>
      <c r="L665" s="3">
        <v>47</v>
      </c>
      <c r="M665" s="3" t="s">
        <v>51</v>
      </c>
      <c r="N665" s="3" t="s">
        <v>48</v>
      </c>
      <c r="O665" s="3" t="s">
        <v>18</v>
      </c>
    </row>
    <row r="666" spans="1:15" x14ac:dyDescent="0.25">
      <c r="A666" s="3">
        <v>28580</v>
      </c>
      <c r="B666" s="3" t="s">
        <v>36</v>
      </c>
      <c r="C666" s="3" t="s">
        <v>39</v>
      </c>
      <c r="D666" s="4">
        <v>80000</v>
      </c>
      <c r="E666" s="3">
        <v>0</v>
      </c>
      <c r="F666" s="3" t="s">
        <v>31</v>
      </c>
      <c r="G666" s="3" t="s">
        <v>14</v>
      </c>
      <c r="H666" s="3" t="s">
        <v>15</v>
      </c>
      <c r="I666" s="3">
        <v>0</v>
      </c>
      <c r="J666" s="3" t="s">
        <v>26</v>
      </c>
      <c r="K666" s="3" t="s">
        <v>32</v>
      </c>
      <c r="L666" s="3">
        <v>40</v>
      </c>
      <c r="M666" s="3" t="s">
        <v>53</v>
      </c>
      <c r="N666" s="3" t="s">
        <v>49</v>
      </c>
      <c r="O666" s="3" t="s">
        <v>15</v>
      </c>
    </row>
    <row r="667" spans="1:15" x14ac:dyDescent="0.25">
      <c r="A667" s="3">
        <v>14443</v>
      </c>
      <c r="B667" s="3" t="s">
        <v>36</v>
      </c>
      <c r="C667" s="3" t="s">
        <v>38</v>
      </c>
      <c r="D667" s="4">
        <v>130000</v>
      </c>
      <c r="E667" s="3">
        <v>1</v>
      </c>
      <c r="F667" s="3" t="s">
        <v>31</v>
      </c>
      <c r="G667" s="3" t="s">
        <v>28</v>
      </c>
      <c r="H667" s="3" t="s">
        <v>15</v>
      </c>
      <c r="I667" s="3">
        <v>4</v>
      </c>
      <c r="J667" s="3" t="s">
        <v>16</v>
      </c>
      <c r="K667" s="3" t="s">
        <v>32</v>
      </c>
      <c r="L667" s="3">
        <v>40</v>
      </c>
      <c r="M667" s="3" t="s">
        <v>53</v>
      </c>
      <c r="N667" s="3" t="s">
        <v>49</v>
      </c>
      <c r="O667" s="3" t="s">
        <v>18</v>
      </c>
    </row>
    <row r="668" spans="1:15" x14ac:dyDescent="0.25">
      <c r="A668" s="3">
        <v>17864</v>
      </c>
      <c r="B668" s="3" t="s">
        <v>36</v>
      </c>
      <c r="C668" s="3" t="s">
        <v>39</v>
      </c>
      <c r="D668" s="4">
        <v>60000</v>
      </c>
      <c r="E668" s="3">
        <v>1</v>
      </c>
      <c r="F668" s="3" t="s">
        <v>19</v>
      </c>
      <c r="G668" s="3" t="s">
        <v>14</v>
      </c>
      <c r="H668" s="3" t="s">
        <v>15</v>
      </c>
      <c r="I668" s="3">
        <v>1</v>
      </c>
      <c r="J668" s="3" t="s">
        <v>22</v>
      </c>
      <c r="K668" s="3" t="s">
        <v>32</v>
      </c>
      <c r="L668" s="3">
        <v>46</v>
      </c>
      <c r="M668" s="3" t="s">
        <v>51</v>
      </c>
      <c r="N668" s="3" t="s">
        <v>48</v>
      </c>
      <c r="O668" s="3" t="s">
        <v>15</v>
      </c>
    </row>
    <row r="669" spans="1:15" x14ac:dyDescent="0.25">
      <c r="A669" s="3">
        <v>20505</v>
      </c>
      <c r="B669" s="3" t="s">
        <v>36</v>
      </c>
      <c r="C669" s="3" t="s">
        <v>39</v>
      </c>
      <c r="D669" s="4">
        <v>40000</v>
      </c>
      <c r="E669" s="3">
        <v>5</v>
      </c>
      <c r="F669" s="3" t="s">
        <v>27</v>
      </c>
      <c r="G669" s="3" t="s">
        <v>21</v>
      </c>
      <c r="H669" s="3" t="s">
        <v>18</v>
      </c>
      <c r="I669" s="3">
        <v>2</v>
      </c>
      <c r="J669" s="3" t="s">
        <v>46</v>
      </c>
      <c r="K669" s="3" t="s">
        <v>32</v>
      </c>
      <c r="L669" s="3">
        <v>61</v>
      </c>
      <c r="M669" s="3" t="s">
        <v>54</v>
      </c>
      <c r="N669" s="3" t="s">
        <v>50</v>
      </c>
      <c r="O669" s="3" t="s">
        <v>18</v>
      </c>
    </row>
    <row r="670" spans="1:15" x14ac:dyDescent="0.25">
      <c r="A670" s="3">
        <v>14592</v>
      </c>
      <c r="B670" s="3" t="s">
        <v>36</v>
      </c>
      <c r="C670" s="3" t="s">
        <v>39</v>
      </c>
      <c r="D670" s="4">
        <v>60000</v>
      </c>
      <c r="E670" s="3">
        <v>0</v>
      </c>
      <c r="F670" s="3" t="s">
        <v>31</v>
      </c>
      <c r="G670" s="3" t="s">
        <v>21</v>
      </c>
      <c r="H670" s="3" t="s">
        <v>15</v>
      </c>
      <c r="I670" s="3">
        <v>0</v>
      </c>
      <c r="J670" s="3" t="s">
        <v>16</v>
      </c>
      <c r="K670" s="3" t="s">
        <v>32</v>
      </c>
      <c r="L670" s="3">
        <v>40</v>
      </c>
      <c r="M670" s="3" t="s">
        <v>53</v>
      </c>
      <c r="N670" s="3" t="s">
        <v>49</v>
      </c>
      <c r="O670" s="3" t="s">
        <v>18</v>
      </c>
    </row>
    <row r="671" spans="1:15" x14ac:dyDescent="0.25">
      <c r="A671" s="3">
        <v>22227</v>
      </c>
      <c r="B671" s="3" t="s">
        <v>36</v>
      </c>
      <c r="C671" s="3" t="s">
        <v>39</v>
      </c>
      <c r="D671" s="4">
        <v>60000</v>
      </c>
      <c r="E671" s="3">
        <v>2</v>
      </c>
      <c r="F671" s="3" t="s">
        <v>27</v>
      </c>
      <c r="G671" s="3" t="s">
        <v>21</v>
      </c>
      <c r="H671" s="3" t="s">
        <v>15</v>
      </c>
      <c r="I671" s="3">
        <v>2</v>
      </c>
      <c r="J671" s="3" t="s">
        <v>23</v>
      </c>
      <c r="K671" s="3" t="s">
        <v>32</v>
      </c>
      <c r="L671" s="3">
        <v>50</v>
      </c>
      <c r="M671" s="3" t="s">
        <v>51</v>
      </c>
      <c r="N671" s="3" t="s">
        <v>48</v>
      </c>
      <c r="O671" s="3" t="s">
        <v>18</v>
      </c>
    </row>
    <row r="672" spans="1:15" x14ac:dyDescent="0.25">
      <c r="A672" s="3">
        <v>21471</v>
      </c>
      <c r="B672" s="3" t="s">
        <v>36</v>
      </c>
      <c r="C672" s="3" t="s">
        <v>38</v>
      </c>
      <c r="D672" s="4">
        <v>70000</v>
      </c>
      <c r="E672" s="3">
        <v>2</v>
      </c>
      <c r="F672" s="3" t="s">
        <v>19</v>
      </c>
      <c r="G672" s="3" t="s">
        <v>21</v>
      </c>
      <c r="H672" s="3" t="s">
        <v>15</v>
      </c>
      <c r="I672" s="3">
        <v>1</v>
      </c>
      <c r="J672" s="3" t="s">
        <v>46</v>
      </c>
      <c r="K672" s="3" t="s">
        <v>32</v>
      </c>
      <c r="L672" s="3">
        <v>59</v>
      </c>
      <c r="M672" s="3" t="s">
        <v>54</v>
      </c>
      <c r="N672" s="3" t="s">
        <v>50</v>
      </c>
      <c r="O672" s="3" t="s">
        <v>18</v>
      </c>
    </row>
    <row r="673" spans="1:15" x14ac:dyDescent="0.25">
      <c r="A673" s="3">
        <v>22252</v>
      </c>
      <c r="B673" s="3" t="s">
        <v>37</v>
      </c>
      <c r="C673" s="3" t="s">
        <v>39</v>
      </c>
      <c r="D673" s="4">
        <v>60000</v>
      </c>
      <c r="E673" s="3">
        <v>1</v>
      </c>
      <c r="F673" s="3" t="s">
        <v>31</v>
      </c>
      <c r="G673" s="3" t="s">
        <v>21</v>
      </c>
      <c r="H673" s="3" t="s">
        <v>15</v>
      </c>
      <c r="I673" s="3">
        <v>0</v>
      </c>
      <c r="J673" s="3" t="s">
        <v>22</v>
      </c>
      <c r="K673" s="3" t="s">
        <v>32</v>
      </c>
      <c r="L673" s="3">
        <v>36</v>
      </c>
      <c r="M673" s="3" t="s">
        <v>53</v>
      </c>
      <c r="N673" s="3" t="s">
        <v>49</v>
      </c>
      <c r="O673" s="3" t="s">
        <v>15</v>
      </c>
    </row>
    <row r="674" spans="1:15" x14ac:dyDescent="0.25">
      <c r="A674" s="3">
        <v>21260</v>
      </c>
      <c r="B674" s="3" t="s">
        <v>37</v>
      </c>
      <c r="C674" s="3" t="s">
        <v>39</v>
      </c>
      <c r="D674" s="4">
        <v>40000</v>
      </c>
      <c r="E674" s="3">
        <v>0</v>
      </c>
      <c r="F674" s="3" t="s">
        <v>27</v>
      </c>
      <c r="G674" s="3" t="s">
        <v>14</v>
      </c>
      <c r="H674" s="3" t="s">
        <v>15</v>
      </c>
      <c r="I674" s="3">
        <v>2</v>
      </c>
      <c r="J674" s="3" t="s">
        <v>23</v>
      </c>
      <c r="K674" s="3" t="s">
        <v>32</v>
      </c>
      <c r="L674" s="3">
        <v>30</v>
      </c>
      <c r="M674" s="3" t="s">
        <v>53</v>
      </c>
      <c r="N674" s="3" t="s">
        <v>49</v>
      </c>
      <c r="O674" s="3" t="s">
        <v>18</v>
      </c>
    </row>
    <row r="675" spans="1:15" x14ac:dyDescent="0.25">
      <c r="A675" s="3">
        <v>11817</v>
      </c>
      <c r="B675" s="3" t="s">
        <v>37</v>
      </c>
      <c r="C675" s="3" t="s">
        <v>39</v>
      </c>
      <c r="D675" s="4">
        <v>70000</v>
      </c>
      <c r="E675" s="3">
        <v>4</v>
      </c>
      <c r="F675" s="3" t="s">
        <v>31</v>
      </c>
      <c r="G675" s="3" t="s">
        <v>21</v>
      </c>
      <c r="H675" s="3" t="s">
        <v>15</v>
      </c>
      <c r="I675" s="3">
        <v>0</v>
      </c>
      <c r="J675" s="3" t="s">
        <v>22</v>
      </c>
      <c r="K675" s="3" t="s">
        <v>32</v>
      </c>
      <c r="L675" s="3">
        <v>35</v>
      </c>
      <c r="M675" s="3" t="s">
        <v>53</v>
      </c>
      <c r="N675" s="3" t="s">
        <v>49</v>
      </c>
      <c r="O675" s="3" t="s">
        <v>15</v>
      </c>
    </row>
    <row r="676" spans="1:15" x14ac:dyDescent="0.25">
      <c r="A676" s="3">
        <v>19223</v>
      </c>
      <c r="B676" s="3" t="s">
        <v>36</v>
      </c>
      <c r="C676" s="3" t="s">
        <v>39</v>
      </c>
      <c r="D676" s="4">
        <v>30000</v>
      </c>
      <c r="E676" s="3">
        <v>2</v>
      </c>
      <c r="F676" s="3" t="s">
        <v>27</v>
      </c>
      <c r="G676" s="3" t="s">
        <v>14</v>
      </c>
      <c r="H676" s="3" t="s">
        <v>15</v>
      </c>
      <c r="I676" s="3">
        <v>2</v>
      </c>
      <c r="J676" s="3" t="s">
        <v>26</v>
      </c>
      <c r="K676" s="3" t="s">
        <v>32</v>
      </c>
      <c r="L676" s="3">
        <v>48</v>
      </c>
      <c r="M676" s="3" t="s">
        <v>51</v>
      </c>
      <c r="N676" s="3" t="s">
        <v>48</v>
      </c>
      <c r="O676" s="3" t="s">
        <v>18</v>
      </c>
    </row>
    <row r="677" spans="1:15" x14ac:dyDescent="0.25">
      <c r="A677" s="3">
        <v>18517</v>
      </c>
      <c r="B677" s="3" t="s">
        <v>36</v>
      </c>
      <c r="C677" s="3" t="s">
        <v>38</v>
      </c>
      <c r="D677" s="4">
        <v>100000</v>
      </c>
      <c r="E677" s="3">
        <v>3</v>
      </c>
      <c r="F677" s="3" t="s">
        <v>13</v>
      </c>
      <c r="G677" s="3" t="s">
        <v>28</v>
      </c>
      <c r="H677" s="3" t="s">
        <v>15</v>
      </c>
      <c r="I677" s="3">
        <v>4</v>
      </c>
      <c r="J677" s="3" t="s">
        <v>16</v>
      </c>
      <c r="K677" s="3" t="s">
        <v>32</v>
      </c>
      <c r="L677" s="3">
        <v>41</v>
      </c>
      <c r="M677" s="3" t="s">
        <v>53</v>
      </c>
      <c r="N677" s="3" t="s">
        <v>49</v>
      </c>
      <c r="O677" s="3" t="s">
        <v>18</v>
      </c>
    </row>
    <row r="678" spans="1:15" x14ac:dyDescent="0.25">
      <c r="A678" s="3">
        <v>21717</v>
      </c>
      <c r="B678" s="3" t="s">
        <v>36</v>
      </c>
      <c r="C678" s="3" t="s">
        <v>38</v>
      </c>
      <c r="D678" s="4">
        <v>40000</v>
      </c>
      <c r="E678" s="3">
        <v>2</v>
      </c>
      <c r="F678" s="3" t="s">
        <v>19</v>
      </c>
      <c r="G678" s="3" t="s">
        <v>20</v>
      </c>
      <c r="H678" s="3" t="s">
        <v>15</v>
      </c>
      <c r="I678" s="3">
        <v>1</v>
      </c>
      <c r="J678" s="3" t="s">
        <v>16</v>
      </c>
      <c r="K678" s="3" t="s">
        <v>32</v>
      </c>
      <c r="L678" s="3">
        <v>47</v>
      </c>
      <c r="M678" s="3" t="s">
        <v>51</v>
      </c>
      <c r="N678" s="3" t="s">
        <v>48</v>
      </c>
      <c r="O678" s="3" t="s">
        <v>18</v>
      </c>
    </row>
    <row r="679" spans="1:15" x14ac:dyDescent="0.25">
      <c r="A679" s="3">
        <v>13760</v>
      </c>
      <c r="B679" s="3" t="s">
        <v>36</v>
      </c>
      <c r="C679" s="3" t="s">
        <v>38</v>
      </c>
      <c r="D679" s="4">
        <v>60000</v>
      </c>
      <c r="E679" s="3">
        <v>4</v>
      </c>
      <c r="F679" s="3" t="s">
        <v>31</v>
      </c>
      <c r="G679" s="3" t="s">
        <v>14</v>
      </c>
      <c r="H679" s="3" t="s">
        <v>18</v>
      </c>
      <c r="I679" s="3">
        <v>0</v>
      </c>
      <c r="J679" s="3" t="s">
        <v>16</v>
      </c>
      <c r="K679" s="3" t="s">
        <v>32</v>
      </c>
      <c r="L679" s="3">
        <v>47</v>
      </c>
      <c r="M679" s="3" t="s">
        <v>51</v>
      </c>
      <c r="N679" s="3" t="s">
        <v>48</v>
      </c>
      <c r="O679" s="3" t="s">
        <v>18</v>
      </c>
    </row>
    <row r="680" spans="1:15" x14ac:dyDescent="0.25">
      <c r="A680" s="3">
        <v>18145</v>
      </c>
      <c r="B680" s="3" t="s">
        <v>36</v>
      </c>
      <c r="C680" s="3" t="s">
        <v>38</v>
      </c>
      <c r="D680" s="4">
        <v>80000</v>
      </c>
      <c r="E680" s="3">
        <v>5</v>
      </c>
      <c r="F680" s="3" t="s">
        <v>13</v>
      </c>
      <c r="G680" s="3" t="s">
        <v>28</v>
      </c>
      <c r="H680" s="3" t="s">
        <v>18</v>
      </c>
      <c r="I680" s="3">
        <v>2</v>
      </c>
      <c r="J680" s="3" t="s">
        <v>22</v>
      </c>
      <c r="K680" s="3" t="s">
        <v>17</v>
      </c>
      <c r="L680" s="3">
        <v>62</v>
      </c>
      <c r="M680" s="3" t="s">
        <v>54</v>
      </c>
      <c r="N680" s="3" t="s">
        <v>50</v>
      </c>
      <c r="O680" s="3" t="s">
        <v>18</v>
      </c>
    </row>
    <row r="681" spans="1:15" x14ac:dyDescent="0.25">
      <c r="A681" s="3">
        <v>21770</v>
      </c>
      <c r="B681" s="3" t="s">
        <v>36</v>
      </c>
      <c r="C681" s="3" t="s">
        <v>38</v>
      </c>
      <c r="D681" s="4">
        <v>60000</v>
      </c>
      <c r="E681" s="3">
        <v>4</v>
      </c>
      <c r="F681" s="3" t="s">
        <v>13</v>
      </c>
      <c r="G681" s="3" t="s">
        <v>28</v>
      </c>
      <c r="H681" s="3" t="s">
        <v>15</v>
      </c>
      <c r="I681" s="3">
        <v>2</v>
      </c>
      <c r="J681" s="3" t="s">
        <v>46</v>
      </c>
      <c r="K681" s="3" t="s">
        <v>32</v>
      </c>
      <c r="L681" s="3">
        <v>60</v>
      </c>
      <c r="M681" s="3" t="s">
        <v>54</v>
      </c>
      <c r="N681" s="3" t="s">
        <v>50</v>
      </c>
      <c r="O681" s="3" t="s">
        <v>18</v>
      </c>
    </row>
    <row r="682" spans="1:15" x14ac:dyDescent="0.25">
      <c r="A682" s="3">
        <v>11165</v>
      </c>
      <c r="B682" s="3" t="s">
        <v>36</v>
      </c>
      <c r="C682" s="3" t="s">
        <v>39</v>
      </c>
      <c r="D682" s="4">
        <v>60000</v>
      </c>
      <c r="E682" s="3">
        <v>0</v>
      </c>
      <c r="F682" s="3" t="s">
        <v>19</v>
      </c>
      <c r="G682" s="3" t="s">
        <v>14</v>
      </c>
      <c r="H682" s="3" t="s">
        <v>18</v>
      </c>
      <c r="I682" s="3">
        <v>1</v>
      </c>
      <c r="J682" s="3" t="s">
        <v>26</v>
      </c>
      <c r="K682" s="3" t="s">
        <v>32</v>
      </c>
      <c r="L682" s="3">
        <v>33</v>
      </c>
      <c r="M682" s="3" t="s">
        <v>53</v>
      </c>
      <c r="N682" s="3" t="s">
        <v>49</v>
      </c>
      <c r="O682" s="3" t="s">
        <v>18</v>
      </c>
    </row>
    <row r="683" spans="1:15" x14ac:dyDescent="0.25">
      <c r="A683" s="3">
        <v>16377</v>
      </c>
      <c r="B683" s="3" t="s">
        <v>37</v>
      </c>
      <c r="C683" s="3" t="s">
        <v>39</v>
      </c>
      <c r="D683" s="4">
        <v>80000</v>
      </c>
      <c r="E683" s="3">
        <v>4</v>
      </c>
      <c r="F683" s="3" t="s">
        <v>31</v>
      </c>
      <c r="G683" s="3" t="s">
        <v>14</v>
      </c>
      <c r="H683" s="3" t="s">
        <v>18</v>
      </c>
      <c r="I683" s="3">
        <v>0</v>
      </c>
      <c r="J683" s="3" t="s">
        <v>16</v>
      </c>
      <c r="K683" s="3" t="s">
        <v>32</v>
      </c>
      <c r="L683" s="3">
        <v>47</v>
      </c>
      <c r="M683" s="3" t="s">
        <v>51</v>
      </c>
      <c r="N683" s="3" t="s">
        <v>48</v>
      </c>
      <c r="O683" s="3" t="s">
        <v>18</v>
      </c>
    </row>
    <row r="684" spans="1:15" x14ac:dyDescent="0.25">
      <c r="A684" s="3">
        <v>26248</v>
      </c>
      <c r="B684" s="3" t="s">
        <v>36</v>
      </c>
      <c r="C684" s="3" t="s">
        <v>38</v>
      </c>
      <c r="D684" s="4">
        <v>20000</v>
      </c>
      <c r="E684" s="3">
        <v>3</v>
      </c>
      <c r="F684" s="3" t="s">
        <v>29</v>
      </c>
      <c r="G684" s="3" t="s">
        <v>20</v>
      </c>
      <c r="H684" s="3" t="s">
        <v>18</v>
      </c>
      <c r="I684" s="3">
        <v>2</v>
      </c>
      <c r="J684" s="3" t="s">
        <v>16</v>
      </c>
      <c r="K684" s="3" t="s">
        <v>32</v>
      </c>
      <c r="L684" s="3">
        <v>52</v>
      </c>
      <c r="M684" s="3" t="s">
        <v>51</v>
      </c>
      <c r="N684" s="3" t="s">
        <v>48</v>
      </c>
      <c r="O684" s="3" t="s">
        <v>18</v>
      </c>
    </row>
    <row r="685" spans="1:15" x14ac:dyDescent="0.25">
      <c r="A685" s="3">
        <v>23461</v>
      </c>
      <c r="B685" s="3" t="s">
        <v>36</v>
      </c>
      <c r="C685" s="3" t="s">
        <v>39</v>
      </c>
      <c r="D685" s="4">
        <v>90000</v>
      </c>
      <c r="E685" s="3">
        <v>5</v>
      </c>
      <c r="F685" s="3" t="s">
        <v>19</v>
      </c>
      <c r="G685" s="3" t="s">
        <v>21</v>
      </c>
      <c r="H685" s="3" t="s">
        <v>15</v>
      </c>
      <c r="I685" s="3">
        <v>3</v>
      </c>
      <c r="J685" s="3" t="s">
        <v>22</v>
      </c>
      <c r="K685" s="3" t="s">
        <v>32</v>
      </c>
      <c r="L685" s="3">
        <v>40</v>
      </c>
      <c r="M685" s="3" t="s">
        <v>53</v>
      </c>
      <c r="N685" s="3" t="s">
        <v>49</v>
      </c>
      <c r="O685" s="3" t="s">
        <v>18</v>
      </c>
    </row>
    <row r="686" spans="1:15" x14ac:dyDescent="0.25">
      <c r="A686" s="3">
        <v>29133</v>
      </c>
      <c r="B686" s="3" t="s">
        <v>37</v>
      </c>
      <c r="C686" s="3" t="s">
        <v>39</v>
      </c>
      <c r="D686" s="4">
        <v>60000</v>
      </c>
      <c r="E686" s="3">
        <v>4</v>
      </c>
      <c r="F686" s="3" t="s">
        <v>13</v>
      </c>
      <c r="G686" s="3" t="s">
        <v>14</v>
      </c>
      <c r="H686" s="3" t="s">
        <v>18</v>
      </c>
      <c r="I686" s="3">
        <v>2</v>
      </c>
      <c r="J686" s="3" t="s">
        <v>16</v>
      </c>
      <c r="K686" s="3" t="s">
        <v>32</v>
      </c>
      <c r="L686" s="3">
        <v>42</v>
      </c>
      <c r="M686" s="3" t="s">
        <v>53</v>
      </c>
      <c r="N686" s="3" t="s">
        <v>49</v>
      </c>
      <c r="O686" s="3" t="s">
        <v>18</v>
      </c>
    </row>
    <row r="687" spans="1:15" x14ac:dyDescent="0.25">
      <c r="A687" s="3">
        <v>27673</v>
      </c>
      <c r="B687" s="3" t="s">
        <v>37</v>
      </c>
      <c r="C687" s="3" t="s">
        <v>39</v>
      </c>
      <c r="D687" s="4">
        <v>60000</v>
      </c>
      <c r="E687" s="3">
        <v>3</v>
      </c>
      <c r="F687" s="3" t="s">
        <v>31</v>
      </c>
      <c r="G687" s="3" t="s">
        <v>28</v>
      </c>
      <c r="H687" s="3" t="s">
        <v>15</v>
      </c>
      <c r="I687" s="3">
        <v>2</v>
      </c>
      <c r="J687" s="3" t="s">
        <v>23</v>
      </c>
      <c r="K687" s="3" t="s">
        <v>32</v>
      </c>
      <c r="L687" s="3">
        <v>53</v>
      </c>
      <c r="M687" s="3" t="s">
        <v>51</v>
      </c>
      <c r="N687" s="3" t="s">
        <v>48</v>
      </c>
      <c r="O687" s="3" t="s">
        <v>15</v>
      </c>
    </row>
    <row r="688" spans="1:15" x14ac:dyDescent="0.25">
      <c r="A688" s="3">
        <v>12774</v>
      </c>
      <c r="B688" s="3" t="s">
        <v>36</v>
      </c>
      <c r="C688" s="3" t="s">
        <v>39</v>
      </c>
      <c r="D688" s="4">
        <v>40000</v>
      </c>
      <c r="E688" s="3">
        <v>1</v>
      </c>
      <c r="F688" s="3" t="s">
        <v>19</v>
      </c>
      <c r="G688" s="3" t="s">
        <v>20</v>
      </c>
      <c r="H688" s="3" t="s">
        <v>15</v>
      </c>
      <c r="I688" s="3">
        <v>1</v>
      </c>
      <c r="J688" s="3" t="s">
        <v>26</v>
      </c>
      <c r="K688" s="3" t="s">
        <v>32</v>
      </c>
      <c r="L688" s="3">
        <v>51</v>
      </c>
      <c r="M688" s="3" t="s">
        <v>51</v>
      </c>
      <c r="N688" s="3" t="s">
        <v>48</v>
      </c>
      <c r="O688" s="3" t="s">
        <v>15</v>
      </c>
    </row>
    <row r="689" spans="1:15" x14ac:dyDescent="0.25">
      <c r="A689" s="3">
        <v>18910</v>
      </c>
      <c r="B689" s="3" t="s">
        <v>37</v>
      </c>
      <c r="C689" s="3" t="s">
        <v>38</v>
      </c>
      <c r="D689" s="4">
        <v>30000</v>
      </c>
      <c r="E689" s="3">
        <v>0</v>
      </c>
      <c r="F689" s="3" t="s">
        <v>19</v>
      </c>
      <c r="G689" s="3" t="s">
        <v>14</v>
      </c>
      <c r="H689" s="3" t="s">
        <v>15</v>
      </c>
      <c r="I689" s="3">
        <v>2</v>
      </c>
      <c r="J689" s="3" t="s">
        <v>23</v>
      </c>
      <c r="K689" s="3" t="s">
        <v>32</v>
      </c>
      <c r="L689" s="3">
        <v>30</v>
      </c>
      <c r="M689" s="3" t="s">
        <v>53</v>
      </c>
      <c r="N689" s="3" t="s">
        <v>49</v>
      </c>
      <c r="O689" s="3" t="s">
        <v>18</v>
      </c>
    </row>
    <row r="690" spans="1:15" x14ac:dyDescent="0.25">
      <c r="A690" s="3">
        <v>11699</v>
      </c>
      <c r="B690" s="3" t="s">
        <v>37</v>
      </c>
      <c r="C690" s="3" t="s">
        <v>38</v>
      </c>
      <c r="D690" s="4">
        <v>60000</v>
      </c>
      <c r="E690" s="3">
        <v>0</v>
      </c>
      <c r="F690" s="3" t="s">
        <v>13</v>
      </c>
      <c r="G690" s="3" t="s">
        <v>14</v>
      </c>
      <c r="H690" s="3" t="s">
        <v>18</v>
      </c>
      <c r="I690" s="3">
        <v>2</v>
      </c>
      <c r="J690" s="3" t="s">
        <v>16</v>
      </c>
      <c r="K690" s="3" t="s">
        <v>32</v>
      </c>
      <c r="L690" s="3">
        <v>30</v>
      </c>
      <c r="M690" s="3" t="s">
        <v>53</v>
      </c>
      <c r="N690" s="3" t="s">
        <v>49</v>
      </c>
      <c r="O690" s="3" t="s">
        <v>18</v>
      </c>
    </row>
    <row r="691" spans="1:15" x14ac:dyDescent="0.25">
      <c r="A691" s="3">
        <v>16725</v>
      </c>
      <c r="B691" s="3" t="s">
        <v>36</v>
      </c>
      <c r="C691" s="3" t="s">
        <v>38</v>
      </c>
      <c r="D691" s="4">
        <v>30000</v>
      </c>
      <c r="E691" s="3">
        <v>0</v>
      </c>
      <c r="F691" s="3" t="s">
        <v>27</v>
      </c>
      <c r="G691" s="3" t="s">
        <v>14</v>
      </c>
      <c r="H691" s="3" t="s">
        <v>15</v>
      </c>
      <c r="I691" s="3">
        <v>2</v>
      </c>
      <c r="J691" s="3" t="s">
        <v>23</v>
      </c>
      <c r="K691" s="3" t="s">
        <v>32</v>
      </c>
      <c r="L691" s="3">
        <v>26</v>
      </c>
      <c r="M691" s="3" t="s">
        <v>53</v>
      </c>
      <c r="N691" s="3" t="s">
        <v>49</v>
      </c>
      <c r="O691" s="3" t="s">
        <v>18</v>
      </c>
    </row>
    <row r="692" spans="1:15" x14ac:dyDescent="0.25">
      <c r="A692" s="3">
        <v>28269</v>
      </c>
      <c r="B692" s="3" t="s">
        <v>37</v>
      </c>
      <c r="C692" s="3" t="s">
        <v>39</v>
      </c>
      <c r="D692" s="4">
        <v>130000</v>
      </c>
      <c r="E692" s="3">
        <v>1</v>
      </c>
      <c r="F692" s="3" t="s">
        <v>13</v>
      </c>
      <c r="G692" s="3" t="s">
        <v>28</v>
      </c>
      <c r="H692" s="3" t="s">
        <v>18</v>
      </c>
      <c r="I692" s="3">
        <v>1</v>
      </c>
      <c r="J692" s="3" t="s">
        <v>22</v>
      </c>
      <c r="K692" s="3" t="s">
        <v>32</v>
      </c>
      <c r="L692" s="3">
        <v>45</v>
      </c>
      <c r="M692" s="3" t="s">
        <v>51</v>
      </c>
      <c r="N692" s="3" t="s">
        <v>48</v>
      </c>
      <c r="O692" s="3" t="s">
        <v>18</v>
      </c>
    </row>
    <row r="693" spans="1:15" x14ac:dyDescent="0.25">
      <c r="A693" s="3">
        <v>23144</v>
      </c>
      <c r="B693" s="3" t="s">
        <v>36</v>
      </c>
      <c r="C693" s="3" t="s">
        <v>38</v>
      </c>
      <c r="D693" s="4">
        <v>50000</v>
      </c>
      <c r="E693" s="3">
        <v>1</v>
      </c>
      <c r="F693" s="3" t="s">
        <v>13</v>
      </c>
      <c r="G693" s="3" t="s">
        <v>14</v>
      </c>
      <c r="H693" s="3" t="s">
        <v>15</v>
      </c>
      <c r="I693" s="3">
        <v>0</v>
      </c>
      <c r="J693" s="3" t="s">
        <v>16</v>
      </c>
      <c r="K693" s="3" t="s">
        <v>32</v>
      </c>
      <c r="L693" s="3">
        <v>34</v>
      </c>
      <c r="M693" s="3" t="s">
        <v>53</v>
      </c>
      <c r="N693" s="3" t="s">
        <v>49</v>
      </c>
      <c r="O693" s="3" t="s">
        <v>15</v>
      </c>
    </row>
    <row r="694" spans="1:15" x14ac:dyDescent="0.25">
      <c r="A694" s="3">
        <v>23376</v>
      </c>
      <c r="B694" s="3" t="s">
        <v>36</v>
      </c>
      <c r="C694" s="3" t="s">
        <v>38</v>
      </c>
      <c r="D694" s="4">
        <v>70000</v>
      </c>
      <c r="E694" s="3">
        <v>1</v>
      </c>
      <c r="F694" s="3" t="s">
        <v>13</v>
      </c>
      <c r="G694" s="3" t="s">
        <v>21</v>
      </c>
      <c r="H694" s="3" t="s">
        <v>15</v>
      </c>
      <c r="I694" s="3">
        <v>1</v>
      </c>
      <c r="J694" s="3" t="s">
        <v>22</v>
      </c>
      <c r="K694" s="3" t="s">
        <v>32</v>
      </c>
      <c r="L694" s="3">
        <v>44</v>
      </c>
      <c r="M694" s="3" t="s">
        <v>53</v>
      </c>
      <c r="N694" s="3" t="s">
        <v>49</v>
      </c>
      <c r="O694" s="3" t="s">
        <v>15</v>
      </c>
    </row>
    <row r="695" spans="1:15" x14ac:dyDescent="0.25">
      <c r="A695" s="3">
        <v>25970</v>
      </c>
      <c r="B695" s="3" t="s">
        <v>37</v>
      </c>
      <c r="C695" s="3" t="s">
        <v>39</v>
      </c>
      <c r="D695" s="4">
        <v>60000</v>
      </c>
      <c r="E695" s="3">
        <v>4</v>
      </c>
      <c r="F695" s="3" t="s">
        <v>13</v>
      </c>
      <c r="G695" s="3" t="s">
        <v>14</v>
      </c>
      <c r="H695" s="3" t="s">
        <v>18</v>
      </c>
      <c r="I695" s="3">
        <v>2</v>
      </c>
      <c r="J695" s="3" t="s">
        <v>16</v>
      </c>
      <c r="K695" s="3" t="s">
        <v>32</v>
      </c>
      <c r="L695" s="3">
        <v>41</v>
      </c>
      <c r="M695" s="3" t="s">
        <v>53</v>
      </c>
      <c r="N695" s="3" t="s">
        <v>49</v>
      </c>
      <c r="O695" s="3" t="s">
        <v>15</v>
      </c>
    </row>
    <row r="696" spans="1:15" x14ac:dyDescent="0.25">
      <c r="A696" s="3">
        <v>28068</v>
      </c>
      <c r="B696" s="3" t="s">
        <v>37</v>
      </c>
      <c r="C696" s="3" t="s">
        <v>39</v>
      </c>
      <c r="D696" s="4">
        <v>80000</v>
      </c>
      <c r="E696" s="3">
        <v>3</v>
      </c>
      <c r="F696" s="3" t="s">
        <v>31</v>
      </c>
      <c r="G696" s="3" t="s">
        <v>21</v>
      </c>
      <c r="H696" s="3" t="s">
        <v>18</v>
      </c>
      <c r="I696" s="3">
        <v>0</v>
      </c>
      <c r="J696" s="3" t="s">
        <v>16</v>
      </c>
      <c r="K696" s="3" t="s">
        <v>32</v>
      </c>
      <c r="L696" s="3">
        <v>36</v>
      </c>
      <c r="M696" s="3" t="s">
        <v>53</v>
      </c>
      <c r="N696" s="3" t="s">
        <v>49</v>
      </c>
      <c r="O696" s="3" t="s">
        <v>15</v>
      </c>
    </row>
    <row r="697" spans="1:15" x14ac:dyDescent="0.25">
      <c r="A697" s="3">
        <v>18390</v>
      </c>
      <c r="B697" s="3" t="s">
        <v>36</v>
      </c>
      <c r="C697" s="3" t="s">
        <v>38</v>
      </c>
      <c r="D697" s="4">
        <v>80000</v>
      </c>
      <c r="E697" s="3">
        <v>5</v>
      </c>
      <c r="F697" s="3" t="s">
        <v>19</v>
      </c>
      <c r="G697" s="3" t="s">
        <v>21</v>
      </c>
      <c r="H697" s="3" t="s">
        <v>15</v>
      </c>
      <c r="I697" s="3">
        <v>2</v>
      </c>
      <c r="J697" s="3" t="s">
        <v>16</v>
      </c>
      <c r="K697" s="3" t="s">
        <v>32</v>
      </c>
      <c r="L697" s="3">
        <v>44</v>
      </c>
      <c r="M697" s="3" t="s">
        <v>53</v>
      </c>
      <c r="N697" s="3" t="s">
        <v>49</v>
      </c>
      <c r="O697" s="3" t="s">
        <v>18</v>
      </c>
    </row>
    <row r="698" spans="1:15" x14ac:dyDescent="0.25">
      <c r="A698" s="3">
        <v>29112</v>
      </c>
      <c r="B698" s="3" t="s">
        <v>37</v>
      </c>
      <c r="C698" s="3" t="s">
        <v>38</v>
      </c>
      <c r="D698" s="4">
        <v>60000</v>
      </c>
      <c r="E698" s="3">
        <v>0</v>
      </c>
      <c r="F698" s="3" t="s">
        <v>19</v>
      </c>
      <c r="G698" s="3" t="s">
        <v>21</v>
      </c>
      <c r="H698" s="3" t="s">
        <v>18</v>
      </c>
      <c r="I698" s="3">
        <v>2</v>
      </c>
      <c r="J698" s="3" t="s">
        <v>26</v>
      </c>
      <c r="K698" s="3" t="s">
        <v>32</v>
      </c>
      <c r="L698" s="3">
        <v>30</v>
      </c>
      <c r="M698" s="3" t="s">
        <v>53</v>
      </c>
      <c r="N698" s="3" t="s">
        <v>49</v>
      </c>
      <c r="O698" s="3" t="s">
        <v>18</v>
      </c>
    </row>
    <row r="699" spans="1:15" x14ac:dyDescent="0.25">
      <c r="A699" s="3">
        <v>14090</v>
      </c>
      <c r="B699" s="3" t="s">
        <v>36</v>
      </c>
      <c r="C699" s="3" t="s">
        <v>39</v>
      </c>
      <c r="D699" s="4">
        <v>30000</v>
      </c>
      <c r="E699" s="3">
        <v>0</v>
      </c>
      <c r="F699" s="3" t="s">
        <v>29</v>
      </c>
      <c r="G699" s="3" t="s">
        <v>20</v>
      </c>
      <c r="H699" s="3" t="s">
        <v>18</v>
      </c>
      <c r="I699" s="3">
        <v>2</v>
      </c>
      <c r="J699" s="3" t="s">
        <v>16</v>
      </c>
      <c r="K699" s="3" t="s">
        <v>32</v>
      </c>
      <c r="L699" s="3">
        <v>28</v>
      </c>
      <c r="M699" s="3" t="s">
        <v>53</v>
      </c>
      <c r="N699" s="3" t="s">
        <v>49</v>
      </c>
      <c r="O699" s="3" t="s">
        <v>18</v>
      </c>
    </row>
    <row r="700" spans="1:15" x14ac:dyDescent="0.25">
      <c r="A700" s="3">
        <v>27040</v>
      </c>
      <c r="B700" s="3" t="s">
        <v>36</v>
      </c>
      <c r="C700" s="3" t="s">
        <v>38</v>
      </c>
      <c r="D700" s="4">
        <v>20000</v>
      </c>
      <c r="E700" s="3">
        <v>2</v>
      </c>
      <c r="F700" s="3" t="s">
        <v>29</v>
      </c>
      <c r="G700" s="3" t="s">
        <v>20</v>
      </c>
      <c r="H700" s="3" t="s">
        <v>15</v>
      </c>
      <c r="I700" s="3">
        <v>2</v>
      </c>
      <c r="J700" s="3" t="s">
        <v>26</v>
      </c>
      <c r="K700" s="3" t="s">
        <v>32</v>
      </c>
      <c r="L700" s="3">
        <v>49</v>
      </c>
      <c r="M700" s="3" t="s">
        <v>51</v>
      </c>
      <c r="N700" s="3" t="s">
        <v>48</v>
      </c>
      <c r="O700" s="3" t="s">
        <v>18</v>
      </c>
    </row>
    <row r="701" spans="1:15" x14ac:dyDescent="0.25">
      <c r="A701" s="3">
        <v>23479</v>
      </c>
      <c r="B701" s="3" t="s">
        <v>37</v>
      </c>
      <c r="C701" s="3" t="s">
        <v>38</v>
      </c>
      <c r="D701" s="4">
        <v>90000</v>
      </c>
      <c r="E701" s="3">
        <v>0</v>
      </c>
      <c r="F701" s="3" t="s">
        <v>19</v>
      </c>
      <c r="G701" s="3" t="s">
        <v>21</v>
      </c>
      <c r="H701" s="3" t="s">
        <v>18</v>
      </c>
      <c r="I701" s="3">
        <v>2</v>
      </c>
      <c r="J701" s="3" t="s">
        <v>16</v>
      </c>
      <c r="K701" s="3" t="s">
        <v>32</v>
      </c>
      <c r="L701" s="3">
        <v>43</v>
      </c>
      <c r="M701" s="3" t="s">
        <v>53</v>
      </c>
      <c r="N701" s="3" t="s">
        <v>49</v>
      </c>
      <c r="O701" s="3" t="s">
        <v>15</v>
      </c>
    </row>
    <row r="702" spans="1:15" x14ac:dyDescent="0.25">
      <c r="A702" s="3">
        <v>16795</v>
      </c>
      <c r="B702" s="3" t="s">
        <v>36</v>
      </c>
      <c r="C702" s="3" t="s">
        <v>39</v>
      </c>
      <c r="D702" s="4">
        <v>70000</v>
      </c>
      <c r="E702" s="3">
        <v>4</v>
      </c>
      <c r="F702" s="3" t="s">
        <v>13</v>
      </c>
      <c r="G702" s="3" t="s">
        <v>28</v>
      </c>
      <c r="H702" s="3" t="s">
        <v>15</v>
      </c>
      <c r="I702" s="3">
        <v>1</v>
      </c>
      <c r="J702" s="3" t="s">
        <v>26</v>
      </c>
      <c r="K702" s="3" t="s">
        <v>32</v>
      </c>
      <c r="L702" s="3">
        <v>59</v>
      </c>
      <c r="M702" s="3" t="s">
        <v>54</v>
      </c>
      <c r="N702" s="3" t="s">
        <v>50</v>
      </c>
      <c r="O702" s="3" t="s">
        <v>18</v>
      </c>
    </row>
    <row r="703" spans="1:15" x14ac:dyDescent="0.25">
      <c r="A703" s="3">
        <v>22014</v>
      </c>
      <c r="B703" s="3" t="s">
        <v>37</v>
      </c>
      <c r="C703" s="3" t="s">
        <v>38</v>
      </c>
      <c r="D703" s="4">
        <v>30000</v>
      </c>
      <c r="E703" s="3">
        <v>0</v>
      </c>
      <c r="F703" s="3" t="s">
        <v>27</v>
      </c>
      <c r="G703" s="3" t="s">
        <v>14</v>
      </c>
      <c r="H703" s="3" t="s">
        <v>15</v>
      </c>
      <c r="I703" s="3">
        <v>2</v>
      </c>
      <c r="J703" s="3" t="s">
        <v>23</v>
      </c>
      <c r="K703" s="3" t="s">
        <v>32</v>
      </c>
      <c r="L703" s="3">
        <v>26</v>
      </c>
      <c r="M703" s="3" t="s">
        <v>53</v>
      </c>
      <c r="N703" s="3" t="s">
        <v>49</v>
      </c>
      <c r="O703" s="3" t="s">
        <v>18</v>
      </c>
    </row>
    <row r="704" spans="1:15" x14ac:dyDescent="0.25">
      <c r="A704" s="3">
        <v>13314</v>
      </c>
      <c r="B704" s="3" t="s">
        <v>36</v>
      </c>
      <c r="C704" s="3" t="s">
        <v>38</v>
      </c>
      <c r="D704" s="4">
        <v>120000</v>
      </c>
      <c r="E704" s="3">
        <v>1</v>
      </c>
      <c r="F704" s="3" t="s">
        <v>27</v>
      </c>
      <c r="G704" s="3" t="s">
        <v>21</v>
      </c>
      <c r="H704" s="3" t="s">
        <v>15</v>
      </c>
      <c r="I704" s="3">
        <v>4</v>
      </c>
      <c r="J704" s="3" t="s">
        <v>23</v>
      </c>
      <c r="K704" s="3" t="s">
        <v>32</v>
      </c>
      <c r="L704" s="3">
        <v>46</v>
      </c>
      <c r="M704" s="3" t="s">
        <v>51</v>
      </c>
      <c r="N704" s="3" t="s">
        <v>48</v>
      </c>
      <c r="O704" s="3" t="s">
        <v>15</v>
      </c>
    </row>
    <row r="705" spans="1:15" x14ac:dyDescent="0.25">
      <c r="A705" s="3">
        <v>11619</v>
      </c>
      <c r="B705" s="3" t="s">
        <v>37</v>
      </c>
      <c r="C705" s="3" t="s">
        <v>39</v>
      </c>
      <c r="D705" s="4">
        <v>50000</v>
      </c>
      <c r="E705" s="3">
        <v>0</v>
      </c>
      <c r="F705" s="3" t="s">
        <v>31</v>
      </c>
      <c r="G705" s="3" t="s">
        <v>14</v>
      </c>
      <c r="H705" s="3" t="s">
        <v>15</v>
      </c>
      <c r="I705" s="3">
        <v>0</v>
      </c>
      <c r="J705" s="3" t="s">
        <v>26</v>
      </c>
      <c r="K705" s="3" t="s">
        <v>32</v>
      </c>
      <c r="L705" s="3">
        <v>33</v>
      </c>
      <c r="M705" s="3" t="s">
        <v>53</v>
      </c>
      <c r="N705" s="3" t="s">
        <v>49</v>
      </c>
      <c r="O705" s="3" t="s">
        <v>18</v>
      </c>
    </row>
    <row r="706" spans="1:15" x14ac:dyDescent="0.25">
      <c r="A706" s="3">
        <v>29132</v>
      </c>
      <c r="B706" s="3" t="s">
        <v>37</v>
      </c>
      <c r="C706" s="3" t="s">
        <v>39</v>
      </c>
      <c r="D706" s="4">
        <v>40000</v>
      </c>
      <c r="E706" s="3">
        <v>0</v>
      </c>
      <c r="F706" s="3" t="s">
        <v>13</v>
      </c>
      <c r="G706" s="3" t="s">
        <v>21</v>
      </c>
      <c r="H706" s="3" t="s">
        <v>15</v>
      </c>
      <c r="I706" s="3">
        <v>1</v>
      </c>
      <c r="J706" s="3" t="s">
        <v>22</v>
      </c>
      <c r="K706" s="3" t="s">
        <v>32</v>
      </c>
      <c r="L706" s="3">
        <v>42</v>
      </c>
      <c r="M706" s="3" t="s">
        <v>53</v>
      </c>
      <c r="N706" s="3" t="s">
        <v>49</v>
      </c>
      <c r="O706" s="3" t="s">
        <v>15</v>
      </c>
    </row>
    <row r="707" spans="1:15" x14ac:dyDescent="0.25">
      <c r="A707" s="3">
        <v>11199</v>
      </c>
      <c r="B707" s="3" t="s">
        <v>36</v>
      </c>
      <c r="C707" s="3" t="s">
        <v>39</v>
      </c>
      <c r="D707" s="4">
        <v>70000</v>
      </c>
      <c r="E707" s="3">
        <v>4</v>
      </c>
      <c r="F707" s="3" t="s">
        <v>13</v>
      </c>
      <c r="G707" s="3" t="s">
        <v>28</v>
      </c>
      <c r="H707" s="3" t="s">
        <v>15</v>
      </c>
      <c r="I707" s="3">
        <v>1</v>
      </c>
      <c r="J707" s="3" t="s">
        <v>46</v>
      </c>
      <c r="K707" s="3" t="s">
        <v>32</v>
      </c>
      <c r="L707" s="3">
        <v>59</v>
      </c>
      <c r="M707" s="3" t="s">
        <v>54</v>
      </c>
      <c r="N707" s="3" t="s">
        <v>50</v>
      </c>
      <c r="O707" s="3" t="s">
        <v>18</v>
      </c>
    </row>
    <row r="708" spans="1:15" x14ac:dyDescent="0.25">
      <c r="A708" s="3">
        <v>20296</v>
      </c>
      <c r="B708" s="3" t="s">
        <v>37</v>
      </c>
      <c r="C708" s="3" t="s">
        <v>39</v>
      </c>
      <c r="D708" s="4">
        <v>60000</v>
      </c>
      <c r="E708" s="3">
        <v>0</v>
      </c>
      <c r="F708" s="3" t="s">
        <v>19</v>
      </c>
      <c r="G708" s="3" t="s">
        <v>14</v>
      </c>
      <c r="H708" s="3" t="s">
        <v>18</v>
      </c>
      <c r="I708" s="3">
        <v>1</v>
      </c>
      <c r="J708" s="3" t="s">
        <v>26</v>
      </c>
      <c r="K708" s="3" t="s">
        <v>32</v>
      </c>
      <c r="L708" s="3">
        <v>33</v>
      </c>
      <c r="M708" s="3" t="s">
        <v>53</v>
      </c>
      <c r="N708" s="3" t="s">
        <v>49</v>
      </c>
      <c r="O708" s="3" t="s">
        <v>15</v>
      </c>
    </row>
    <row r="709" spans="1:15" x14ac:dyDescent="0.25">
      <c r="A709" s="3">
        <v>17546</v>
      </c>
      <c r="B709" s="3" t="s">
        <v>36</v>
      </c>
      <c r="C709" s="3" t="s">
        <v>39</v>
      </c>
      <c r="D709" s="4">
        <v>70000</v>
      </c>
      <c r="E709" s="3">
        <v>1</v>
      </c>
      <c r="F709" s="3" t="s">
        <v>19</v>
      </c>
      <c r="G709" s="3" t="s">
        <v>14</v>
      </c>
      <c r="H709" s="3" t="s">
        <v>15</v>
      </c>
      <c r="I709" s="3">
        <v>1</v>
      </c>
      <c r="J709" s="3" t="s">
        <v>16</v>
      </c>
      <c r="K709" s="3" t="s">
        <v>32</v>
      </c>
      <c r="L709" s="3">
        <v>44</v>
      </c>
      <c r="M709" s="3" t="s">
        <v>53</v>
      </c>
      <c r="N709" s="3" t="s">
        <v>49</v>
      </c>
      <c r="O709" s="3" t="s">
        <v>15</v>
      </c>
    </row>
    <row r="710" spans="1:15" x14ac:dyDescent="0.25">
      <c r="A710" s="3">
        <v>18069</v>
      </c>
      <c r="B710" s="3" t="s">
        <v>36</v>
      </c>
      <c r="C710" s="3" t="s">
        <v>38</v>
      </c>
      <c r="D710" s="4">
        <v>70000</v>
      </c>
      <c r="E710" s="3">
        <v>5</v>
      </c>
      <c r="F710" s="3" t="s">
        <v>13</v>
      </c>
      <c r="G710" s="3" t="s">
        <v>28</v>
      </c>
      <c r="H710" s="3" t="s">
        <v>15</v>
      </c>
      <c r="I710" s="3">
        <v>4</v>
      </c>
      <c r="J710" s="3" t="s">
        <v>46</v>
      </c>
      <c r="K710" s="3" t="s">
        <v>32</v>
      </c>
      <c r="L710" s="3">
        <v>60</v>
      </c>
      <c r="M710" s="3" t="s">
        <v>54</v>
      </c>
      <c r="N710" s="3" t="s">
        <v>50</v>
      </c>
      <c r="O710" s="3" t="s">
        <v>18</v>
      </c>
    </row>
    <row r="711" spans="1:15" x14ac:dyDescent="0.25">
      <c r="A711" s="3">
        <v>23712</v>
      </c>
      <c r="B711" s="3" t="s">
        <v>37</v>
      </c>
      <c r="C711" s="3" t="s">
        <v>39</v>
      </c>
      <c r="D711" s="4">
        <v>70000</v>
      </c>
      <c r="E711" s="3">
        <v>2</v>
      </c>
      <c r="F711" s="3" t="s">
        <v>13</v>
      </c>
      <c r="G711" s="3" t="s">
        <v>28</v>
      </c>
      <c r="H711" s="3" t="s">
        <v>15</v>
      </c>
      <c r="I711" s="3">
        <v>1</v>
      </c>
      <c r="J711" s="3" t="s">
        <v>46</v>
      </c>
      <c r="K711" s="3" t="s">
        <v>32</v>
      </c>
      <c r="L711" s="3">
        <v>59</v>
      </c>
      <c r="M711" s="3" t="s">
        <v>54</v>
      </c>
      <c r="N711" s="3" t="s">
        <v>50</v>
      </c>
      <c r="O711" s="3" t="s">
        <v>18</v>
      </c>
    </row>
    <row r="712" spans="1:15" x14ac:dyDescent="0.25">
      <c r="A712" s="3">
        <v>23358</v>
      </c>
      <c r="B712" s="3" t="s">
        <v>36</v>
      </c>
      <c r="C712" s="3" t="s">
        <v>38</v>
      </c>
      <c r="D712" s="4">
        <v>60000</v>
      </c>
      <c r="E712" s="3">
        <v>0</v>
      </c>
      <c r="F712" s="3" t="s">
        <v>27</v>
      </c>
      <c r="G712" s="3" t="s">
        <v>21</v>
      </c>
      <c r="H712" s="3" t="s">
        <v>15</v>
      </c>
      <c r="I712" s="3">
        <v>2</v>
      </c>
      <c r="J712" s="3" t="s">
        <v>23</v>
      </c>
      <c r="K712" s="3" t="s">
        <v>32</v>
      </c>
      <c r="L712" s="3">
        <v>32</v>
      </c>
      <c r="M712" s="3" t="s">
        <v>53</v>
      </c>
      <c r="N712" s="3" t="s">
        <v>49</v>
      </c>
      <c r="O712" s="3" t="s">
        <v>15</v>
      </c>
    </row>
    <row r="713" spans="1:15" x14ac:dyDescent="0.25">
      <c r="A713" s="3">
        <v>20518</v>
      </c>
      <c r="B713" s="3" t="s">
        <v>36</v>
      </c>
      <c r="C713" s="3" t="s">
        <v>39</v>
      </c>
      <c r="D713" s="4">
        <v>70000</v>
      </c>
      <c r="E713" s="3">
        <v>2</v>
      </c>
      <c r="F713" s="3" t="s">
        <v>19</v>
      </c>
      <c r="G713" s="3" t="s">
        <v>21</v>
      </c>
      <c r="H713" s="3" t="s">
        <v>15</v>
      </c>
      <c r="I713" s="3">
        <v>1</v>
      </c>
      <c r="J713" s="3" t="s">
        <v>46</v>
      </c>
      <c r="K713" s="3" t="s">
        <v>32</v>
      </c>
      <c r="L713" s="3">
        <v>58</v>
      </c>
      <c r="M713" s="3" t="s">
        <v>54</v>
      </c>
      <c r="N713" s="3" t="s">
        <v>50</v>
      </c>
      <c r="O713" s="3" t="s">
        <v>18</v>
      </c>
    </row>
    <row r="714" spans="1:15" x14ac:dyDescent="0.25">
      <c r="A714" s="3">
        <v>28026</v>
      </c>
      <c r="B714" s="3" t="s">
        <v>36</v>
      </c>
      <c r="C714" s="3" t="s">
        <v>39</v>
      </c>
      <c r="D714" s="4">
        <v>40000</v>
      </c>
      <c r="E714" s="3">
        <v>2</v>
      </c>
      <c r="F714" s="3" t="s">
        <v>27</v>
      </c>
      <c r="G714" s="3" t="s">
        <v>21</v>
      </c>
      <c r="H714" s="3" t="s">
        <v>18</v>
      </c>
      <c r="I714" s="3">
        <v>2</v>
      </c>
      <c r="J714" s="3" t="s">
        <v>22</v>
      </c>
      <c r="K714" s="3" t="s">
        <v>32</v>
      </c>
      <c r="L714" s="3">
        <v>59</v>
      </c>
      <c r="M714" s="3" t="s">
        <v>54</v>
      </c>
      <c r="N714" s="3" t="s">
        <v>50</v>
      </c>
      <c r="O714" s="3" t="s">
        <v>18</v>
      </c>
    </row>
    <row r="715" spans="1:15" x14ac:dyDescent="0.25">
      <c r="A715" s="3">
        <v>11669</v>
      </c>
      <c r="B715" s="3" t="s">
        <v>37</v>
      </c>
      <c r="C715" s="3" t="s">
        <v>39</v>
      </c>
      <c r="D715" s="4">
        <v>70000</v>
      </c>
      <c r="E715" s="3">
        <v>2</v>
      </c>
      <c r="F715" s="3" t="s">
        <v>13</v>
      </c>
      <c r="G715" s="3" t="s">
        <v>14</v>
      </c>
      <c r="H715" s="3" t="s">
        <v>15</v>
      </c>
      <c r="I715" s="3">
        <v>1</v>
      </c>
      <c r="J715" s="3" t="s">
        <v>22</v>
      </c>
      <c r="K715" s="3" t="s">
        <v>32</v>
      </c>
      <c r="L715" s="3">
        <v>38</v>
      </c>
      <c r="M715" s="3" t="s">
        <v>53</v>
      </c>
      <c r="N715" s="3" t="s">
        <v>49</v>
      </c>
      <c r="O715" s="3" t="s">
        <v>18</v>
      </c>
    </row>
    <row r="716" spans="1:15" x14ac:dyDescent="0.25">
      <c r="A716" s="3">
        <v>16020</v>
      </c>
      <c r="B716" s="3" t="s">
        <v>36</v>
      </c>
      <c r="C716" s="3" t="s">
        <v>38</v>
      </c>
      <c r="D716" s="4">
        <v>40000</v>
      </c>
      <c r="E716" s="3">
        <v>0</v>
      </c>
      <c r="F716" s="3" t="s">
        <v>27</v>
      </c>
      <c r="G716" s="3" t="s">
        <v>14</v>
      </c>
      <c r="H716" s="3" t="s">
        <v>15</v>
      </c>
      <c r="I716" s="3">
        <v>2</v>
      </c>
      <c r="J716" s="3" t="s">
        <v>23</v>
      </c>
      <c r="K716" s="3" t="s">
        <v>32</v>
      </c>
      <c r="L716" s="3">
        <v>28</v>
      </c>
      <c r="M716" s="3" t="s">
        <v>53</v>
      </c>
      <c r="N716" s="3" t="s">
        <v>49</v>
      </c>
      <c r="O716" s="3" t="s">
        <v>15</v>
      </c>
    </row>
    <row r="717" spans="1:15" x14ac:dyDescent="0.25">
      <c r="A717" s="3">
        <v>27090</v>
      </c>
      <c r="B717" s="3" t="s">
        <v>36</v>
      </c>
      <c r="C717" s="3" t="s">
        <v>39</v>
      </c>
      <c r="D717" s="4">
        <v>60000</v>
      </c>
      <c r="E717" s="3">
        <v>1</v>
      </c>
      <c r="F717" s="3" t="s">
        <v>31</v>
      </c>
      <c r="G717" s="3" t="s">
        <v>21</v>
      </c>
      <c r="H717" s="3" t="s">
        <v>15</v>
      </c>
      <c r="I717" s="3">
        <v>0</v>
      </c>
      <c r="J717" s="3" t="s">
        <v>22</v>
      </c>
      <c r="K717" s="3" t="s">
        <v>32</v>
      </c>
      <c r="L717" s="3">
        <v>37</v>
      </c>
      <c r="M717" s="3" t="s">
        <v>53</v>
      </c>
      <c r="N717" s="3" t="s">
        <v>49</v>
      </c>
      <c r="O717" s="3" t="s">
        <v>15</v>
      </c>
    </row>
    <row r="718" spans="1:15" x14ac:dyDescent="0.25">
      <c r="A718" s="3">
        <v>27198</v>
      </c>
      <c r="B718" s="3" t="s">
        <v>37</v>
      </c>
      <c r="C718" s="3" t="s">
        <v>39</v>
      </c>
      <c r="D718" s="4">
        <v>80000</v>
      </c>
      <c r="E718" s="3">
        <v>0</v>
      </c>
      <c r="F718" s="3" t="s">
        <v>31</v>
      </c>
      <c r="G718" s="3" t="s">
        <v>14</v>
      </c>
      <c r="H718" s="3" t="s">
        <v>18</v>
      </c>
      <c r="I718" s="3">
        <v>0</v>
      </c>
      <c r="J718" s="3" t="s">
        <v>16</v>
      </c>
      <c r="K718" s="3" t="s">
        <v>32</v>
      </c>
      <c r="L718" s="3">
        <v>40</v>
      </c>
      <c r="M718" s="3" t="s">
        <v>53</v>
      </c>
      <c r="N718" s="3" t="s">
        <v>49</v>
      </c>
      <c r="O718" s="3" t="s">
        <v>18</v>
      </c>
    </row>
    <row r="719" spans="1:15" x14ac:dyDescent="0.25">
      <c r="A719" s="3">
        <v>19661</v>
      </c>
      <c r="B719" s="3" t="s">
        <v>37</v>
      </c>
      <c r="C719" s="3" t="s">
        <v>38</v>
      </c>
      <c r="D719" s="4">
        <v>90000</v>
      </c>
      <c r="E719" s="3">
        <v>4</v>
      </c>
      <c r="F719" s="3" t="s">
        <v>13</v>
      </c>
      <c r="G719" s="3" t="s">
        <v>28</v>
      </c>
      <c r="H719" s="3" t="s">
        <v>15</v>
      </c>
      <c r="I719" s="3">
        <v>1</v>
      </c>
      <c r="J719" s="3" t="s">
        <v>26</v>
      </c>
      <c r="K719" s="3" t="s">
        <v>32</v>
      </c>
      <c r="L719" s="3">
        <v>38</v>
      </c>
      <c r="M719" s="3" t="s">
        <v>53</v>
      </c>
      <c r="N719" s="3" t="s">
        <v>49</v>
      </c>
      <c r="O719" s="3" t="s">
        <v>15</v>
      </c>
    </row>
    <row r="720" spans="1:15" x14ac:dyDescent="0.25">
      <c r="A720" s="3">
        <v>26327</v>
      </c>
      <c r="B720" s="3" t="s">
        <v>36</v>
      </c>
      <c r="C720" s="3" t="s">
        <v>38</v>
      </c>
      <c r="D720" s="4">
        <v>70000</v>
      </c>
      <c r="E720" s="3">
        <v>4</v>
      </c>
      <c r="F720" s="3" t="s">
        <v>31</v>
      </c>
      <c r="G720" s="3" t="s">
        <v>21</v>
      </c>
      <c r="H720" s="3" t="s">
        <v>15</v>
      </c>
      <c r="I720" s="3">
        <v>0</v>
      </c>
      <c r="J720" s="3" t="s">
        <v>22</v>
      </c>
      <c r="K720" s="3" t="s">
        <v>32</v>
      </c>
      <c r="L720" s="3">
        <v>36</v>
      </c>
      <c r="M720" s="3" t="s">
        <v>53</v>
      </c>
      <c r="N720" s="3" t="s">
        <v>49</v>
      </c>
      <c r="O720" s="3" t="s">
        <v>15</v>
      </c>
    </row>
    <row r="721" spans="1:15" x14ac:dyDescent="0.25">
      <c r="A721" s="3">
        <v>26341</v>
      </c>
      <c r="B721" s="3" t="s">
        <v>36</v>
      </c>
      <c r="C721" s="3" t="s">
        <v>39</v>
      </c>
      <c r="D721" s="4">
        <v>70000</v>
      </c>
      <c r="E721" s="3">
        <v>5</v>
      </c>
      <c r="F721" s="3" t="s">
        <v>31</v>
      </c>
      <c r="G721" s="3" t="s">
        <v>21</v>
      </c>
      <c r="H721" s="3" t="s">
        <v>15</v>
      </c>
      <c r="I721" s="3">
        <v>2</v>
      </c>
      <c r="J721" s="3" t="s">
        <v>16</v>
      </c>
      <c r="K721" s="3" t="s">
        <v>32</v>
      </c>
      <c r="L721" s="3">
        <v>37</v>
      </c>
      <c r="M721" s="3" t="s">
        <v>53</v>
      </c>
      <c r="N721" s="3" t="s">
        <v>49</v>
      </c>
      <c r="O721" s="3" t="s">
        <v>18</v>
      </c>
    </row>
    <row r="722" spans="1:15" x14ac:dyDescent="0.25">
      <c r="A722" s="3">
        <v>24958</v>
      </c>
      <c r="B722" s="3" t="s">
        <v>37</v>
      </c>
      <c r="C722" s="3" t="s">
        <v>39</v>
      </c>
      <c r="D722" s="4">
        <v>40000</v>
      </c>
      <c r="E722" s="3">
        <v>5</v>
      </c>
      <c r="F722" s="3" t="s">
        <v>27</v>
      </c>
      <c r="G722" s="3" t="s">
        <v>21</v>
      </c>
      <c r="H722" s="3" t="s">
        <v>18</v>
      </c>
      <c r="I722" s="3">
        <v>3</v>
      </c>
      <c r="J722" s="3" t="s">
        <v>22</v>
      </c>
      <c r="K722" s="3" t="s">
        <v>32</v>
      </c>
      <c r="L722" s="3">
        <v>60</v>
      </c>
      <c r="M722" s="3" t="s">
        <v>54</v>
      </c>
      <c r="N722" s="3" t="s">
        <v>50</v>
      </c>
      <c r="O722" s="3" t="s">
        <v>15</v>
      </c>
    </row>
    <row r="723" spans="1:15" x14ac:dyDescent="0.25">
      <c r="A723" s="3">
        <v>13287</v>
      </c>
      <c r="B723" s="3" t="s">
        <v>37</v>
      </c>
      <c r="C723" s="3" t="s">
        <v>38</v>
      </c>
      <c r="D723" s="4">
        <v>110000</v>
      </c>
      <c r="E723" s="3">
        <v>4</v>
      </c>
      <c r="F723" s="3" t="s">
        <v>13</v>
      </c>
      <c r="G723" s="3" t="s">
        <v>28</v>
      </c>
      <c r="H723" s="3" t="s">
        <v>15</v>
      </c>
      <c r="I723" s="3">
        <v>4</v>
      </c>
      <c r="J723" s="3" t="s">
        <v>23</v>
      </c>
      <c r="K723" s="3" t="s">
        <v>32</v>
      </c>
      <c r="L723" s="3">
        <v>42</v>
      </c>
      <c r="M723" s="3" t="s">
        <v>53</v>
      </c>
      <c r="N723" s="3" t="s">
        <v>49</v>
      </c>
      <c r="O723" s="3" t="s">
        <v>15</v>
      </c>
    </row>
    <row r="724" spans="1:15" x14ac:dyDescent="0.25">
      <c r="A724" s="3">
        <v>14493</v>
      </c>
      <c r="B724" s="3" t="s">
        <v>37</v>
      </c>
      <c r="C724" s="3" t="s">
        <v>39</v>
      </c>
      <c r="D724" s="4">
        <v>70000</v>
      </c>
      <c r="E724" s="3">
        <v>3</v>
      </c>
      <c r="F724" s="3" t="s">
        <v>31</v>
      </c>
      <c r="G724" s="3" t="s">
        <v>28</v>
      </c>
      <c r="H724" s="3" t="s">
        <v>18</v>
      </c>
      <c r="I724" s="3">
        <v>2</v>
      </c>
      <c r="J724" s="3" t="s">
        <v>26</v>
      </c>
      <c r="K724" s="3" t="s">
        <v>32</v>
      </c>
      <c r="L724" s="3">
        <v>53</v>
      </c>
      <c r="M724" s="3" t="s">
        <v>51</v>
      </c>
      <c r="N724" s="3" t="s">
        <v>48</v>
      </c>
      <c r="O724" s="3" t="s">
        <v>18</v>
      </c>
    </row>
    <row r="725" spans="1:15" x14ac:dyDescent="0.25">
      <c r="A725" s="3">
        <v>26678</v>
      </c>
      <c r="B725" s="3" t="s">
        <v>37</v>
      </c>
      <c r="C725" s="3" t="s">
        <v>39</v>
      </c>
      <c r="D725" s="4">
        <v>80000</v>
      </c>
      <c r="E725" s="3">
        <v>2</v>
      </c>
      <c r="F725" s="3" t="s">
        <v>29</v>
      </c>
      <c r="G725" s="3" t="s">
        <v>14</v>
      </c>
      <c r="H725" s="3" t="s">
        <v>15</v>
      </c>
      <c r="I725" s="3">
        <v>2</v>
      </c>
      <c r="J725" s="3" t="s">
        <v>23</v>
      </c>
      <c r="K725" s="3" t="s">
        <v>32</v>
      </c>
      <c r="L725" s="3">
        <v>49</v>
      </c>
      <c r="M725" s="3" t="s">
        <v>51</v>
      </c>
      <c r="N725" s="3" t="s">
        <v>48</v>
      </c>
      <c r="O725" s="3" t="s">
        <v>18</v>
      </c>
    </row>
    <row r="726" spans="1:15" x14ac:dyDescent="0.25">
      <c r="A726" s="3">
        <v>23275</v>
      </c>
      <c r="B726" s="3" t="s">
        <v>36</v>
      </c>
      <c r="C726" s="3" t="s">
        <v>38</v>
      </c>
      <c r="D726" s="4">
        <v>30000</v>
      </c>
      <c r="E726" s="3">
        <v>2</v>
      </c>
      <c r="F726" s="3" t="s">
        <v>27</v>
      </c>
      <c r="G726" s="3" t="s">
        <v>14</v>
      </c>
      <c r="H726" s="3" t="s">
        <v>15</v>
      </c>
      <c r="I726" s="3">
        <v>2</v>
      </c>
      <c r="J726" s="3" t="s">
        <v>26</v>
      </c>
      <c r="K726" s="3" t="s">
        <v>32</v>
      </c>
      <c r="L726" s="3">
        <v>49</v>
      </c>
      <c r="M726" s="3" t="s">
        <v>51</v>
      </c>
      <c r="N726" s="3" t="s">
        <v>48</v>
      </c>
      <c r="O726" s="3" t="s">
        <v>18</v>
      </c>
    </row>
    <row r="727" spans="1:15" x14ac:dyDescent="0.25">
      <c r="A727" s="3">
        <v>11270</v>
      </c>
      <c r="B727" s="3" t="s">
        <v>36</v>
      </c>
      <c r="C727" s="3" t="s">
        <v>38</v>
      </c>
      <c r="D727" s="4">
        <v>130000</v>
      </c>
      <c r="E727" s="3">
        <v>2</v>
      </c>
      <c r="F727" s="3" t="s">
        <v>31</v>
      </c>
      <c r="G727" s="3" t="s">
        <v>28</v>
      </c>
      <c r="H727" s="3" t="s">
        <v>15</v>
      </c>
      <c r="I727" s="3">
        <v>3</v>
      </c>
      <c r="J727" s="3" t="s">
        <v>16</v>
      </c>
      <c r="K727" s="3" t="s">
        <v>32</v>
      </c>
      <c r="L727" s="3">
        <v>42</v>
      </c>
      <c r="M727" s="3" t="s">
        <v>53</v>
      </c>
      <c r="N727" s="3" t="s">
        <v>49</v>
      </c>
      <c r="O727" s="3" t="s">
        <v>15</v>
      </c>
    </row>
    <row r="728" spans="1:15" x14ac:dyDescent="0.25">
      <c r="A728" s="3">
        <v>20084</v>
      </c>
      <c r="B728" s="3" t="s">
        <v>36</v>
      </c>
      <c r="C728" s="3" t="s">
        <v>38</v>
      </c>
      <c r="D728" s="4">
        <v>20000</v>
      </c>
      <c r="E728" s="3">
        <v>2</v>
      </c>
      <c r="F728" s="3" t="s">
        <v>27</v>
      </c>
      <c r="G728" s="3" t="s">
        <v>25</v>
      </c>
      <c r="H728" s="3" t="s">
        <v>18</v>
      </c>
      <c r="I728" s="3">
        <v>2</v>
      </c>
      <c r="J728" s="3" t="s">
        <v>16</v>
      </c>
      <c r="K728" s="3" t="s">
        <v>32</v>
      </c>
      <c r="L728" s="3">
        <v>53</v>
      </c>
      <c r="M728" s="3" t="s">
        <v>51</v>
      </c>
      <c r="N728" s="3" t="s">
        <v>48</v>
      </c>
      <c r="O728" s="3" t="s">
        <v>18</v>
      </c>
    </row>
    <row r="729" spans="1:15" x14ac:dyDescent="0.25">
      <c r="A729" s="3">
        <v>16144</v>
      </c>
      <c r="B729" s="3" t="s">
        <v>36</v>
      </c>
      <c r="C729" s="3" t="s">
        <v>38</v>
      </c>
      <c r="D729" s="4">
        <v>70000</v>
      </c>
      <c r="E729" s="3">
        <v>1</v>
      </c>
      <c r="F729" s="3" t="s">
        <v>31</v>
      </c>
      <c r="G729" s="3" t="s">
        <v>21</v>
      </c>
      <c r="H729" s="3" t="s">
        <v>15</v>
      </c>
      <c r="I729" s="3">
        <v>1</v>
      </c>
      <c r="J729" s="3" t="s">
        <v>16</v>
      </c>
      <c r="K729" s="3" t="s">
        <v>32</v>
      </c>
      <c r="L729" s="3">
        <v>46</v>
      </c>
      <c r="M729" s="3" t="s">
        <v>51</v>
      </c>
      <c r="N729" s="3" t="s">
        <v>48</v>
      </c>
      <c r="O729" s="3" t="s">
        <v>15</v>
      </c>
    </row>
    <row r="730" spans="1:15" x14ac:dyDescent="0.25">
      <c r="A730" s="3">
        <v>27731</v>
      </c>
      <c r="B730" s="3" t="s">
        <v>36</v>
      </c>
      <c r="C730" s="3" t="s">
        <v>38</v>
      </c>
      <c r="D730" s="4">
        <v>40000</v>
      </c>
      <c r="E730" s="3">
        <v>0</v>
      </c>
      <c r="F730" s="3" t="s">
        <v>27</v>
      </c>
      <c r="G730" s="3" t="s">
        <v>14</v>
      </c>
      <c r="H730" s="3" t="s">
        <v>15</v>
      </c>
      <c r="I730" s="3">
        <v>2</v>
      </c>
      <c r="J730" s="3" t="s">
        <v>23</v>
      </c>
      <c r="K730" s="3" t="s">
        <v>32</v>
      </c>
      <c r="L730" s="3">
        <v>27</v>
      </c>
      <c r="M730" s="3" t="s">
        <v>53</v>
      </c>
      <c r="N730" s="3" t="s">
        <v>49</v>
      </c>
      <c r="O730" s="3" t="s">
        <v>18</v>
      </c>
    </row>
    <row r="731" spans="1:15" x14ac:dyDescent="0.25">
      <c r="A731" s="3">
        <v>11886</v>
      </c>
      <c r="B731" s="3" t="s">
        <v>36</v>
      </c>
      <c r="C731" s="3" t="s">
        <v>39</v>
      </c>
      <c r="D731" s="4">
        <v>60000</v>
      </c>
      <c r="E731" s="3">
        <v>3</v>
      </c>
      <c r="F731" s="3" t="s">
        <v>13</v>
      </c>
      <c r="G731" s="3" t="s">
        <v>21</v>
      </c>
      <c r="H731" s="3" t="s">
        <v>15</v>
      </c>
      <c r="I731" s="3">
        <v>1</v>
      </c>
      <c r="J731" s="3" t="s">
        <v>16</v>
      </c>
      <c r="K731" s="3" t="s">
        <v>32</v>
      </c>
      <c r="L731" s="3">
        <v>48</v>
      </c>
      <c r="M731" s="3" t="s">
        <v>51</v>
      </c>
      <c r="N731" s="3" t="s">
        <v>48</v>
      </c>
      <c r="O731" s="3" t="s">
        <v>15</v>
      </c>
    </row>
    <row r="732" spans="1:15" x14ac:dyDescent="0.25">
      <c r="A732" s="3">
        <v>24324</v>
      </c>
      <c r="B732" s="3" t="s">
        <v>37</v>
      </c>
      <c r="C732" s="3" t="s">
        <v>39</v>
      </c>
      <c r="D732" s="4">
        <v>60000</v>
      </c>
      <c r="E732" s="3">
        <v>4</v>
      </c>
      <c r="F732" s="3" t="s">
        <v>13</v>
      </c>
      <c r="G732" s="3" t="s">
        <v>14</v>
      </c>
      <c r="H732" s="3" t="s">
        <v>15</v>
      </c>
      <c r="I732" s="3">
        <v>2</v>
      </c>
      <c r="J732" s="3" t="s">
        <v>22</v>
      </c>
      <c r="K732" s="3" t="s">
        <v>32</v>
      </c>
      <c r="L732" s="3">
        <v>41</v>
      </c>
      <c r="M732" s="3" t="s">
        <v>53</v>
      </c>
      <c r="N732" s="3" t="s">
        <v>49</v>
      </c>
      <c r="O732" s="3" t="s">
        <v>15</v>
      </c>
    </row>
    <row r="733" spans="1:15" x14ac:dyDescent="0.25">
      <c r="A733" s="3">
        <v>22220</v>
      </c>
      <c r="B733" s="3" t="s">
        <v>36</v>
      </c>
      <c r="C733" s="3" t="s">
        <v>38</v>
      </c>
      <c r="D733" s="4">
        <v>60000</v>
      </c>
      <c r="E733" s="3">
        <v>2</v>
      </c>
      <c r="F733" s="3" t="s">
        <v>27</v>
      </c>
      <c r="G733" s="3" t="s">
        <v>21</v>
      </c>
      <c r="H733" s="3" t="s">
        <v>18</v>
      </c>
      <c r="I733" s="3">
        <v>2</v>
      </c>
      <c r="J733" s="3" t="s">
        <v>26</v>
      </c>
      <c r="K733" s="3" t="s">
        <v>32</v>
      </c>
      <c r="L733" s="3">
        <v>49</v>
      </c>
      <c r="M733" s="3" t="s">
        <v>51</v>
      </c>
      <c r="N733" s="3" t="s">
        <v>48</v>
      </c>
      <c r="O733" s="3" t="s">
        <v>15</v>
      </c>
    </row>
    <row r="734" spans="1:15" x14ac:dyDescent="0.25">
      <c r="A734" s="3">
        <v>26625</v>
      </c>
      <c r="B734" s="3" t="s">
        <v>37</v>
      </c>
      <c r="C734" s="3" t="s">
        <v>39</v>
      </c>
      <c r="D734" s="4">
        <v>60000</v>
      </c>
      <c r="E734" s="3">
        <v>0</v>
      </c>
      <c r="F734" s="3" t="s">
        <v>31</v>
      </c>
      <c r="G734" s="3" t="s">
        <v>21</v>
      </c>
      <c r="H734" s="3" t="s">
        <v>15</v>
      </c>
      <c r="I734" s="3">
        <v>1</v>
      </c>
      <c r="J734" s="3" t="s">
        <v>22</v>
      </c>
      <c r="K734" s="3" t="s">
        <v>32</v>
      </c>
      <c r="L734" s="3">
        <v>38</v>
      </c>
      <c r="M734" s="3" t="s">
        <v>53</v>
      </c>
      <c r="N734" s="3" t="s">
        <v>49</v>
      </c>
      <c r="O734" s="3" t="s">
        <v>15</v>
      </c>
    </row>
    <row r="735" spans="1:15" x14ac:dyDescent="0.25">
      <c r="A735" s="3">
        <v>23027</v>
      </c>
      <c r="B735" s="3" t="s">
        <v>37</v>
      </c>
      <c r="C735" s="3" t="s">
        <v>38</v>
      </c>
      <c r="D735" s="4">
        <v>130000</v>
      </c>
      <c r="E735" s="3">
        <v>1</v>
      </c>
      <c r="F735" s="3" t="s">
        <v>13</v>
      </c>
      <c r="G735" s="3" t="s">
        <v>28</v>
      </c>
      <c r="H735" s="3" t="s">
        <v>18</v>
      </c>
      <c r="I735" s="3">
        <v>4</v>
      </c>
      <c r="J735" s="3" t="s">
        <v>16</v>
      </c>
      <c r="K735" s="3" t="s">
        <v>32</v>
      </c>
      <c r="L735" s="3">
        <v>44</v>
      </c>
      <c r="M735" s="3" t="s">
        <v>53</v>
      </c>
      <c r="N735" s="3" t="s">
        <v>49</v>
      </c>
      <c r="O735" s="3" t="s">
        <v>18</v>
      </c>
    </row>
    <row r="736" spans="1:15" x14ac:dyDescent="0.25">
      <c r="A736" s="3">
        <v>16867</v>
      </c>
      <c r="B736" s="3" t="s">
        <v>37</v>
      </c>
      <c r="C736" s="3" t="s">
        <v>39</v>
      </c>
      <c r="D736" s="4">
        <v>130000</v>
      </c>
      <c r="E736" s="3">
        <v>1</v>
      </c>
      <c r="F736" s="3" t="s">
        <v>13</v>
      </c>
      <c r="G736" s="3" t="s">
        <v>28</v>
      </c>
      <c r="H736" s="3" t="s">
        <v>18</v>
      </c>
      <c r="I736" s="3">
        <v>3</v>
      </c>
      <c r="J736" s="3" t="s">
        <v>16</v>
      </c>
      <c r="K736" s="3" t="s">
        <v>32</v>
      </c>
      <c r="L736" s="3">
        <v>45</v>
      </c>
      <c r="M736" s="3" t="s">
        <v>51</v>
      </c>
      <c r="N736" s="3" t="s">
        <v>48</v>
      </c>
      <c r="O736" s="3" t="s">
        <v>15</v>
      </c>
    </row>
    <row r="737" spans="1:15" x14ac:dyDescent="0.25">
      <c r="A737" s="3">
        <v>14514</v>
      </c>
      <c r="B737" s="3" t="s">
        <v>37</v>
      </c>
      <c r="C737" s="3" t="s">
        <v>39</v>
      </c>
      <c r="D737" s="4">
        <v>30000</v>
      </c>
      <c r="E737" s="3">
        <v>0</v>
      </c>
      <c r="F737" s="3" t="s">
        <v>19</v>
      </c>
      <c r="G737" s="3" t="s">
        <v>14</v>
      </c>
      <c r="H737" s="3" t="s">
        <v>15</v>
      </c>
      <c r="I737" s="3">
        <v>1</v>
      </c>
      <c r="J737" s="3" t="s">
        <v>23</v>
      </c>
      <c r="K737" s="3" t="s">
        <v>32</v>
      </c>
      <c r="L737" s="3">
        <v>26</v>
      </c>
      <c r="M737" s="3" t="s">
        <v>53</v>
      </c>
      <c r="N737" s="3" t="s">
        <v>49</v>
      </c>
      <c r="O737" s="3" t="s">
        <v>18</v>
      </c>
    </row>
    <row r="738" spans="1:15" x14ac:dyDescent="0.25">
      <c r="A738" s="3">
        <v>19634</v>
      </c>
      <c r="B738" s="3" t="s">
        <v>36</v>
      </c>
      <c r="C738" s="3" t="s">
        <v>38</v>
      </c>
      <c r="D738" s="4">
        <v>40000</v>
      </c>
      <c r="E738" s="3">
        <v>0</v>
      </c>
      <c r="F738" s="3" t="s">
        <v>27</v>
      </c>
      <c r="G738" s="3" t="s">
        <v>14</v>
      </c>
      <c r="H738" s="3" t="s">
        <v>15</v>
      </c>
      <c r="I738" s="3">
        <v>1</v>
      </c>
      <c r="J738" s="3" t="s">
        <v>23</v>
      </c>
      <c r="K738" s="3" t="s">
        <v>32</v>
      </c>
      <c r="L738" s="3">
        <v>31</v>
      </c>
      <c r="M738" s="3" t="s">
        <v>53</v>
      </c>
      <c r="N738" s="3" t="s">
        <v>49</v>
      </c>
      <c r="O738" s="3" t="s">
        <v>18</v>
      </c>
    </row>
    <row r="739" spans="1:15" x14ac:dyDescent="0.25">
      <c r="A739" s="3">
        <v>18504</v>
      </c>
      <c r="B739" s="3" t="s">
        <v>36</v>
      </c>
      <c r="C739" s="3" t="s">
        <v>38</v>
      </c>
      <c r="D739" s="4">
        <v>70000</v>
      </c>
      <c r="E739" s="3">
        <v>2</v>
      </c>
      <c r="F739" s="3" t="s">
        <v>29</v>
      </c>
      <c r="G739" s="3" t="s">
        <v>14</v>
      </c>
      <c r="H739" s="3" t="s">
        <v>18</v>
      </c>
      <c r="I739" s="3">
        <v>2</v>
      </c>
      <c r="J739" s="3" t="s">
        <v>26</v>
      </c>
      <c r="K739" s="3" t="s">
        <v>32</v>
      </c>
      <c r="L739" s="3">
        <v>49</v>
      </c>
      <c r="M739" s="3" t="s">
        <v>51</v>
      </c>
      <c r="N739" s="3" t="s">
        <v>48</v>
      </c>
      <c r="O739" s="3" t="s">
        <v>18</v>
      </c>
    </row>
    <row r="740" spans="1:15" x14ac:dyDescent="0.25">
      <c r="A740" s="3">
        <v>28799</v>
      </c>
      <c r="B740" s="3" t="s">
        <v>37</v>
      </c>
      <c r="C740" s="3" t="s">
        <v>39</v>
      </c>
      <c r="D740" s="4">
        <v>40000</v>
      </c>
      <c r="E740" s="3">
        <v>2</v>
      </c>
      <c r="F740" s="3" t="s">
        <v>19</v>
      </c>
      <c r="G740" s="3" t="s">
        <v>20</v>
      </c>
      <c r="H740" s="3" t="s">
        <v>18</v>
      </c>
      <c r="I740" s="3">
        <v>1</v>
      </c>
      <c r="J740" s="3" t="s">
        <v>26</v>
      </c>
      <c r="K740" s="3" t="s">
        <v>32</v>
      </c>
      <c r="L740" s="3">
        <v>47</v>
      </c>
      <c r="M740" s="3" t="s">
        <v>51</v>
      </c>
      <c r="N740" s="3" t="s">
        <v>48</v>
      </c>
      <c r="O740" s="3" t="s">
        <v>15</v>
      </c>
    </row>
    <row r="741" spans="1:15" x14ac:dyDescent="0.25">
      <c r="A741" s="3">
        <v>11225</v>
      </c>
      <c r="B741" s="3" t="s">
        <v>36</v>
      </c>
      <c r="C741" s="3" t="s">
        <v>39</v>
      </c>
      <c r="D741" s="4">
        <v>60000</v>
      </c>
      <c r="E741" s="3">
        <v>2</v>
      </c>
      <c r="F741" s="3" t="s">
        <v>19</v>
      </c>
      <c r="G741" s="3" t="s">
        <v>21</v>
      </c>
      <c r="H741" s="3" t="s">
        <v>15</v>
      </c>
      <c r="I741" s="3">
        <v>1</v>
      </c>
      <c r="J741" s="3" t="s">
        <v>46</v>
      </c>
      <c r="K741" s="3" t="s">
        <v>32</v>
      </c>
      <c r="L741" s="3">
        <v>55</v>
      </c>
      <c r="M741" s="3" t="s">
        <v>52</v>
      </c>
      <c r="N741" s="3" t="s">
        <v>47</v>
      </c>
      <c r="O741" s="3" t="s">
        <v>18</v>
      </c>
    </row>
    <row r="742" spans="1:15" x14ac:dyDescent="0.25">
      <c r="A742" s="3">
        <v>17657</v>
      </c>
      <c r="B742" s="3" t="s">
        <v>36</v>
      </c>
      <c r="C742" s="3" t="s">
        <v>38</v>
      </c>
      <c r="D742" s="4">
        <v>40000</v>
      </c>
      <c r="E742" s="3">
        <v>4</v>
      </c>
      <c r="F742" s="3" t="s">
        <v>19</v>
      </c>
      <c r="G742" s="3" t="s">
        <v>20</v>
      </c>
      <c r="H742" s="3" t="s">
        <v>18</v>
      </c>
      <c r="I742" s="3">
        <v>0</v>
      </c>
      <c r="J742" s="3" t="s">
        <v>16</v>
      </c>
      <c r="K742" s="3" t="s">
        <v>32</v>
      </c>
      <c r="L742" s="3">
        <v>30</v>
      </c>
      <c r="M742" s="3" t="s">
        <v>53</v>
      </c>
      <c r="N742" s="3" t="s">
        <v>49</v>
      </c>
      <c r="O742" s="3" t="s">
        <v>18</v>
      </c>
    </row>
    <row r="743" spans="1:15" x14ac:dyDescent="0.25">
      <c r="A743" s="3">
        <v>14913</v>
      </c>
      <c r="B743" s="3" t="s">
        <v>36</v>
      </c>
      <c r="C743" s="3" t="s">
        <v>39</v>
      </c>
      <c r="D743" s="4">
        <v>40000</v>
      </c>
      <c r="E743" s="3">
        <v>1</v>
      </c>
      <c r="F743" s="3" t="s">
        <v>19</v>
      </c>
      <c r="G743" s="3" t="s">
        <v>20</v>
      </c>
      <c r="H743" s="3" t="s">
        <v>15</v>
      </c>
      <c r="I743" s="3">
        <v>1</v>
      </c>
      <c r="J743" s="3" t="s">
        <v>26</v>
      </c>
      <c r="K743" s="3" t="s">
        <v>32</v>
      </c>
      <c r="L743" s="3">
        <v>48</v>
      </c>
      <c r="M743" s="3" t="s">
        <v>51</v>
      </c>
      <c r="N743" s="3" t="s">
        <v>48</v>
      </c>
      <c r="O743" s="3" t="s">
        <v>15</v>
      </c>
    </row>
    <row r="744" spans="1:15" x14ac:dyDescent="0.25">
      <c r="A744" s="3">
        <v>14077</v>
      </c>
      <c r="B744" s="3" t="s">
        <v>37</v>
      </c>
      <c r="C744" s="3" t="s">
        <v>38</v>
      </c>
      <c r="D744" s="4">
        <v>30000</v>
      </c>
      <c r="E744" s="3">
        <v>0</v>
      </c>
      <c r="F744" s="3" t="s">
        <v>27</v>
      </c>
      <c r="G744" s="3" t="s">
        <v>14</v>
      </c>
      <c r="H744" s="3" t="s">
        <v>15</v>
      </c>
      <c r="I744" s="3">
        <v>2</v>
      </c>
      <c r="J744" s="3" t="s">
        <v>23</v>
      </c>
      <c r="K744" s="3" t="s">
        <v>32</v>
      </c>
      <c r="L744" s="3">
        <v>30</v>
      </c>
      <c r="M744" s="3" t="s">
        <v>53</v>
      </c>
      <c r="N744" s="3" t="s">
        <v>49</v>
      </c>
      <c r="O744" s="3" t="s">
        <v>18</v>
      </c>
    </row>
    <row r="745" spans="1:15" x14ac:dyDescent="0.25">
      <c r="A745" s="3">
        <v>13296</v>
      </c>
      <c r="B745" s="3" t="s">
        <v>36</v>
      </c>
      <c r="C745" s="3" t="s">
        <v>38</v>
      </c>
      <c r="D745" s="4">
        <v>110000</v>
      </c>
      <c r="E745" s="3">
        <v>1</v>
      </c>
      <c r="F745" s="3" t="s">
        <v>13</v>
      </c>
      <c r="G745" s="3" t="s">
        <v>28</v>
      </c>
      <c r="H745" s="3" t="s">
        <v>15</v>
      </c>
      <c r="I745" s="3">
        <v>3</v>
      </c>
      <c r="J745" s="3" t="s">
        <v>23</v>
      </c>
      <c r="K745" s="3" t="s">
        <v>32</v>
      </c>
      <c r="L745" s="3">
        <v>45</v>
      </c>
      <c r="M745" s="3" t="s">
        <v>51</v>
      </c>
      <c r="N745" s="3" t="s">
        <v>48</v>
      </c>
      <c r="O745" s="3" t="s">
        <v>18</v>
      </c>
    </row>
    <row r="746" spans="1:15" x14ac:dyDescent="0.25">
      <c r="A746" s="3">
        <v>20535</v>
      </c>
      <c r="B746" s="3" t="s">
        <v>36</v>
      </c>
      <c r="C746" s="3" t="s">
        <v>39</v>
      </c>
      <c r="D746" s="4">
        <v>70000</v>
      </c>
      <c r="E746" s="3">
        <v>4</v>
      </c>
      <c r="F746" s="3" t="s">
        <v>19</v>
      </c>
      <c r="G746" s="3" t="s">
        <v>21</v>
      </c>
      <c r="H746" s="3" t="s">
        <v>15</v>
      </c>
      <c r="I746" s="3">
        <v>1</v>
      </c>
      <c r="J746" s="3" t="s">
        <v>46</v>
      </c>
      <c r="K746" s="3" t="s">
        <v>32</v>
      </c>
      <c r="L746" s="3">
        <v>56</v>
      </c>
      <c r="M746" s="3" t="s">
        <v>54</v>
      </c>
      <c r="N746" s="3" t="s">
        <v>50</v>
      </c>
      <c r="O746" s="3" t="s">
        <v>18</v>
      </c>
    </row>
    <row r="747" spans="1:15" x14ac:dyDescent="0.25">
      <c r="A747" s="3">
        <v>12452</v>
      </c>
      <c r="B747" s="3" t="s">
        <v>36</v>
      </c>
      <c r="C747" s="3" t="s">
        <v>38</v>
      </c>
      <c r="D747" s="4">
        <v>60000</v>
      </c>
      <c r="E747" s="3">
        <v>4</v>
      </c>
      <c r="F747" s="3" t="s">
        <v>31</v>
      </c>
      <c r="G747" s="3" t="s">
        <v>14</v>
      </c>
      <c r="H747" s="3" t="s">
        <v>15</v>
      </c>
      <c r="I747" s="3">
        <v>0</v>
      </c>
      <c r="J747" s="3" t="s">
        <v>26</v>
      </c>
      <c r="K747" s="3" t="s">
        <v>32</v>
      </c>
      <c r="L747" s="3">
        <v>47</v>
      </c>
      <c r="M747" s="3" t="s">
        <v>51</v>
      </c>
      <c r="N747" s="3" t="s">
        <v>48</v>
      </c>
      <c r="O747" s="3" t="s">
        <v>15</v>
      </c>
    </row>
    <row r="748" spans="1:15" x14ac:dyDescent="0.25">
      <c r="A748" s="3">
        <v>28043</v>
      </c>
      <c r="B748" s="3" t="s">
        <v>36</v>
      </c>
      <c r="C748" s="3" t="s">
        <v>39</v>
      </c>
      <c r="D748" s="4">
        <v>60000</v>
      </c>
      <c r="E748" s="3">
        <v>2</v>
      </c>
      <c r="F748" s="3" t="s">
        <v>13</v>
      </c>
      <c r="G748" s="3" t="s">
        <v>28</v>
      </c>
      <c r="H748" s="3" t="s">
        <v>15</v>
      </c>
      <c r="I748" s="3">
        <v>0</v>
      </c>
      <c r="J748" s="3" t="s">
        <v>46</v>
      </c>
      <c r="K748" s="3" t="s">
        <v>32</v>
      </c>
      <c r="L748" s="3">
        <v>56</v>
      </c>
      <c r="M748" s="3" t="s">
        <v>54</v>
      </c>
      <c r="N748" s="3" t="s">
        <v>50</v>
      </c>
      <c r="O748" s="3" t="s">
        <v>18</v>
      </c>
    </row>
    <row r="749" spans="1:15" x14ac:dyDescent="0.25">
      <c r="A749" s="3">
        <v>12957</v>
      </c>
      <c r="B749" s="3" t="s">
        <v>37</v>
      </c>
      <c r="C749" s="3" t="s">
        <v>39</v>
      </c>
      <c r="D749" s="4">
        <v>70000</v>
      </c>
      <c r="E749" s="3">
        <v>1</v>
      </c>
      <c r="F749" s="3" t="s">
        <v>13</v>
      </c>
      <c r="G749" s="3" t="s">
        <v>21</v>
      </c>
      <c r="H749" s="3" t="s">
        <v>18</v>
      </c>
      <c r="I749" s="3">
        <v>1</v>
      </c>
      <c r="J749" s="3" t="s">
        <v>16</v>
      </c>
      <c r="K749" s="3" t="s">
        <v>32</v>
      </c>
      <c r="L749" s="3">
        <v>44</v>
      </c>
      <c r="M749" s="3" t="s">
        <v>53</v>
      </c>
      <c r="N749" s="3" t="s">
        <v>49</v>
      </c>
      <c r="O749" s="3" t="s">
        <v>18</v>
      </c>
    </row>
    <row r="750" spans="1:15" x14ac:dyDescent="0.25">
      <c r="A750" s="3">
        <v>15412</v>
      </c>
      <c r="B750" s="3" t="s">
        <v>36</v>
      </c>
      <c r="C750" s="3" t="s">
        <v>38</v>
      </c>
      <c r="D750" s="4">
        <v>130000</v>
      </c>
      <c r="E750" s="3">
        <v>2</v>
      </c>
      <c r="F750" s="3" t="s">
        <v>31</v>
      </c>
      <c r="G750" s="3" t="s">
        <v>28</v>
      </c>
      <c r="H750" s="3" t="s">
        <v>15</v>
      </c>
      <c r="I750" s="3">
        <v>3</v>
      </c>
      <c r="J750" s="3" t="s">
        <v>22</v>
      </c>
      <c r="K750" s="3" t="s">
        <v>32</v>
      </c>
      <c r="L750" s="3">
        <v>69</v>
      </c>
      <c r="M750" s="3" t="s">
        <v>54</v>
      </c>
      <c r="N750" s="3" t="s">
        <v>50</v>
      </c>
      <c r="O750" s="3" t="s">
        <v>18</v>
      </c>
    </row>
    <row r="751" spans="1:15" x14ac:dyDescent="0.25">
      <c r="A751" s="3">
        <v>20514</v>
      </c>
      <c r="B751" s="3" t="s">
        <v>36</v>
      </c>
      <c r="C751" s="3" t="s">
        <v>39</v>
      </c>
      <c r="D751" s="4">
        <v>70000</v>
      </c>
      <c r="E751" s="3">
        <v>2</v>
      </c>
      <c r="F751" s="3" t="s">
        <v>19</v>
      </c>
      <c r="G751" s="3" t="s">
        <v>21</v>
      </c>
      <c r="H751" s="3" t="s">
        <v>15</v>
      </c>
      <c r="I751" s="3">
        <v>1</v>
      </c>
      <c r="J751" s="3" t="s">
        <v>22</v>
      </c>
      <c r="K751" s="3" t="s">
        <v>32</v>
      </c>
      <c r="L751" s="3">
        <v>59</v>
      </c>
      <c r="M751" s="3" t="s">
        <v>54</v>
      </c>
      <c r="N751" s="3" t="s">
        <v>50</v>
      </c>
      <c r="O751" s="3" t="s">
        <v>18</v>
      </c>
    </row>
    <row r="752" spans="1:15" x14ac:dyDescent="0.25">
      <c r="A752" s="3">
        <v>20758</v>
      </c>
      <c r="B752" s="3" t="s">
        <v>36</v>
      </c>
      <c r="C752" s="3" t="s">
        <v>38</v>
      </c>
      <c r="D752" s="4">
        <v>30000</v>
      </c>
      <c r="E752" s="3">
        <v>2</v>
      </c>
      <c r="F752" s="3" t="s">
        <v>27</v>
      </c>
      <c r="G752" s="3" t="s">
        <v>14</v>
      </c>
      <c r="H752" s="3" t="s">
        <v>15</v>
      </c>
      <c r="I752" s="3">
        <v>2</v>
      </c>
      <c r="J752" s="3" t="s">
        <v>26</v>
      </c>
      <c r="K752" s="3" t="s">
        <v>32</v>
      </c>
      <c r="L752" s="3">
        <v>50</v>
      </c>
      <c r="M752" s="3" t="s">
        <v>51</v>
      </c>
      <c r="N752" s="3" t="s">
        <v>48</v>
      </c>
      <c r="O752" s="3" t="s">
        <v>18</v>
      </c>
    </row>
    <row r="753" spans="1:15" x14ac:dyDescent="0.25">
      <c r="A753" s="3">
        <v>11801</v>
      </c>
      <c r="B753" s="3" t="s">
        <v>36</v>
      </c>
      <c r="C753" s="3" t="s">
        <v>38</v>
      </c>
      <c r="D753" s="4">
        <v>60000</v>
      </c>
      <c r="E753" s="3">
        <v>1</v>
      </c>
      <c r="F753" s="3" t="s">
        <v>31</v>
      </c>
      <c r="G753" s="3" t="s">
        <v>21</v>
      </c>
      <c r="H753" s="3" t="s">
        <v>15</v>
      </c>
      <c r="I753" s="3">
        <v>0</v>
      </c>
      <c r="J753" s="3" t="s">
        <v>22</v>
      </c>
      <c r="K753" s="3" t="s">
        <v>32</v>
      </c>
      <c r="L753" s="3">
        <v>36</v>
      </c>
      <c r="M753" s="3" t="s">
        <v>53</v>
      </c>
      <c r="N753" s="3" t="s">
        <v>49</v>
      </c>
      <c r="O753" s="3" t="s">
        <v>18</v>
      </c>
    </row>
    <row r="754" spans="1:15" x14ac:dyDescent="0.25">
      <c r="A754" s="3">
        <v>22211</v>
      </c>
      <c r="B754" s="3" t="s">
        <v>36</v>
      </c>
      <c r="C754" s="3" t="s">
        <v>38</v>
      </c>
      <c r="D754" s="4">
        <v>60000</v>
      </c>
      <c r="E754" s="3">
        <v>0</v>
      </c>
      <c r="F754" s="3" t="s">
        <v>19</v>
      </c>
      <c r="G754" s="3" t="s">
        <v>21</v>
      </c>
      <c r="H754" s="3" t="s">
        <v>15</v>
      </c>
      <c r="I754" s="3">
        <v>2</v>
      </c>
      <c r="J754" s="3" t="s">
        <v>23</v>
      </c>
      <c r="K754" s="3" t="s">
        <v>32</v>
      </c>
      <c r="L754" s="3">
        <v>32</v>
      </c>
      <c r="M754" s="3" t="s">
        <v>53</v>
      </c>
      <c r="N754" s="3" t="s">
        <v>49</v>
      </c>
      <c r="O754" s="3" t="s">
        <v>18</v>
      </c>
    </row>
    <row r="755" spans="1:15" x14ac:dyDescent="0.25">
      <c r="A755" s="3">
        <v>28087</v>
      </c>
      <c r="B755" s="3" t="s">
        <v>37</v>
      </c>
      <c r="C755" s="3" t="s">
        <v>39</v>
      </c>
      <c r="D755" s="4">
        <v>40000</v>
      </c>
      <c r="E755" s="3">
        <v>0</v>
      </c>
      <c r="F755" s="3" t="s">
        <v>19</v>
      </c>
      <c r="G755" s="3" t="s">
        <v>14</v>
      </c>
      <c r="H755" s="3" t="s">
        <v>18</v>
      </c>
      <c r="I755" s="3">
        <v>1</v>
      </c>
      <c r="J755" s="3" t="s">
        <v>26</v>
      </c>
      <c r="K755" s="3" t="s">
        <v>32</v>
      </c>
      <c r="L755" s="3">
        <v>27</v>
      </c>
      <c r="M755" s="3" t="s">
        <v>53</v>
      </c>
      <c r="N755" s="3" t="s">
        <v>49</v>
      </c>
      <c r="O755" s="3" t="s">
        <v>18</v>
      </c>
    </row>
    <row r="756" spans="1:15" x14ac:dyDescent="0.25">
      <c r="A756" s="3">
        <v>23668</v>
      </c>
      <c r="B756" s="3" t="s">
        <v>36</v>
      </c>
      <c r="C756" s="3" t="s">
        <v>39</v>
      </c>
      <c r="D756" s="4">
        <v>40000</v>
      </c>
      <c r="E756" s="3">
        <v>4</v>
      </c>
      <c r="F756" s="3" t="s">
        <v>27</v>
      </c>
      <c r="G756" s="3" t="s">
        <v>21</v>
      </c>
      <c r="H756" s="3" t="s">
        <v>15</v>
      </c>
      <c r="I756" s="3">
        <v>2</v>
      </c>
      <c r="J756" s="3" t="s">
        <v>23</v>
      </c>
      <c r="K756" s="3" t="s">
        <v>32</v>
      </c>
      <c r="L756" s="3">
        <v>59</v>
      </c>
      <c r="M756" s="3" t="s">
        <v>54</v>
      </c>
      <c r="N756" s="3" t="s">
        <v>50</v>
      </c>
      <c r="O756" s="3" t="s">
        <v>15</v>
      </c>
    </row>
    <row r="757" spans="1:15" x14ac:dyDescent="0.25">
      <c r="A757" s="3">
        <v>27441</v>
      </c>
      <c r="B757" s="3" t="s">
        <v>36</v>
      </c>
      <c r="C757" s="3" t="s">
        <v>38</v>
      </c>
      <c r="D757" s="4">
        <v>60000</v>
      </c>
      <c r="E757" s="3">
        <v>3</v>
      </c>
      <c r="F757" s="3" t="s">
        <v>27</v>
      </c>
      <c r="G757" s="3" t="s">
        <v>21</v>
      </c>
      <c r="H757" s="3" t="s">
        <v>18</v>
      </c>
      <c r="I757" s="3">
        <v>2</v>
      </c>
      <c r="J757" s="3" t="s">
        <v>22</v>
      </c>
      <c r="K757" s="3" t="s">
        <v>32</v>
      </c>
      <c r="L757" s="3">
        <v>53</v>
      </c>
      <c r="M757" s="3" t="s">
        <v>51</v>
      </c>
      <c r="N757" s="3" t="s">
        <v>48</v>
      </c>
      <c r="O757" s="3" t="s">
        <v>18</v>
      </c>
    </row>
    <row r="758" spans="1:15" x14ac:dyDescent="0.25">
      <c r="A758" s="3">
        <v>27261</v>
      </c>
      <c r="B758" s="3" t="s">
        <v>36</v>
      </c>
      <c r="C758" s="3" t="s">
        <v>38</v>
      </c>
      <c r="D758" s="4">
        <v>40000</v>
      </c>
      <c r="E758" s="3">
        <v>1</v>
      </c>
      <c r="F758" s="3" t="s">
        <v>13</v>
      </c>
      <c r="G758" s="3" t="s">
        <v>14</v>
      </c>
      <c r="H758" s="3" t="s">
        <v>18</v>
      </c>
      <c r="I758" s="3">
        <v>1</v>
      </c>
      <c r="J758" s="3" t="s">
        <v>16</v>
      </c>
      <c r="K758" s="3" t="s">
        <v>32</v>
      </c>
      <c r="L758" s="3">
        <v>36</v>
      </c>
      <c r="M758" s="3" t="s">
        <v>53</v>
      </c>
      <c r="N758" s="3" t="s">
        <v>49</v>
      </c>
      <c r="O758" s="3" t="s">
        <v>15</v>
      </c>
    </row>
    <row r="759" spans="1:15" x14ac:dyDescent="0.25">
      <c r="A759" s="3">
        <v>18649</v>
      </c>
      <c r="B759" s="3" t="s">
        <v>37</v>
      </c>
      <c r="C759" s="3" t="s">
        <v>38</v>
      </c>
      <c r="D759" s="4">
        <v>30000</v>
      </c>
      <c r="E759" s="3">
        <v>1</v>
      </c>
      <c r="F759" s="3" t="s">
        <v>27</v>
      </c>
      <c r="G759" s="3" t="s">
        <v>20</v>
      </c>
      <c r="H759" s="3" t="s">
        <v>15</v>
      </c>
      <c r="I759" s="3">
        <v>2</v>
      </c>
      <c r="J759" s="3" t="s">
        <v>26</v>
      </c>
      <c r="K759" s="3" t="s">
        <v>32</v>
      </c>
      <c r="L759" s="3">
        <v>51</v>
      </c>
      <c r="M759" s="3" t="s">
        <v>51</v>
      </c>
      <c r="N759" s="3" t="s">
        <v>48</v>
      </c>
      <c r="O759" s="3" t="s">
        <v>15</v>
      </c>
    </row>
    <row r="760" spans="1:15" x14ac:dyDescent="0.25">
      <c r="A760" s="3">
        <v>21714</v>
      </c>
      <c r="B760" s="3" t="s">
        <v>37</v>
      </c>
      <c r="C760" s="3" t="s">
        <v>39</v>
      </c>
      <c r="D760" s="4">
        <v>80000</v>
      </c>
      <c r="E760" s="3">
        <v>5</v>
      </c>
      <c r="F760" s="3" t="s">
        <v>31</v>
      </c>
      <c r="G760" s="3" t="s">
        <v>14</v>
      </c>
      <c r="H760" s="3" t="s">
        <v>18</v>
      </c>
      <c r="I760" s="3">
        <v>0</v>
      </c>
      <c r="J760" s="3" t="s">
        <v>16</v>
      </c>
      <c r="K760" s="3" t="s">
        <v>32</v>
      </c>
      <c r="L760" s="3">
        <v>47</v>
      </c>
      <c r="M760" s="3" t="s">
        <v>51</v>
      </c>
      <c r="N760" s="3" t="s">
        <v>48</v>
      </c>
      <c r="O760" s="3" t="s">
        <v>18</v>
      </c>
    </row>
    <row r="761" spans="1:15" x14ac:dyDescent="0.25">
      <c r="A761" s="3">
        <v>23217</v>
      </c>
      <c r="B761" s="3" t="s">
        <v>37</v>
      </c>
      <c r="C761" s="3" t="s">
        <v>39</v>
      </c>
      <c r="D761" s="4">
        <v>60000</v>
      </c>
      <c r="E761" s="3">
        <v>3</v>
      </c>
      <c r="F761" s="3" t="s">
        <v>31</v>
      </c>
      <c r="G761" s="3" t="s">
        <v>21</v>
      </c>
      <c r="H761" s="3" t="s">
        <v>15</v>
      </c>
      <c r="I761" s="3">
        <v>0</v>
      </c>
      <c r="J761" s="3" t="s">
        <v>22</v>
      </c>
      <c r="K761" s="3" t="s">
        <v>32</v>
      </c>
      <c r="L761" s="3">
        <v>43</v>
      </c>
      <c r="M761" s="3" t="s">
        <v>53</v>
      </c>
      <c r="N761" s="3" t="s">
        <v>49</v>
      </c>
      <c r="O761" s="3" t="s">
        <v>15</v>
      </c>
    </row>
    <row r="762" spans="1:15" x14ac:dyDescent="0.25">
      <c r="A762" s="3">
        <v>23797</v>
      </c>
      <c r="B762" s="3" t="s">
        <v>37</v>
      </c>
      <c r="C762" s="3" t="s">
        <v>38</v>
      </c>
      <c r="D762" s="4">
        <v>20000</v>
      </c>
      <c r="E762" s="3">
        <v>3</v>
      </c>
      <c r="F762" s="3" t="s">
        <v>29</v>
      </c>
      <c r="G762" s="3" t="s">
        <v>20</v>
      </c>
      <c r="H762" s="3" t="s">
        <v>18</v>
      </c>
      <c r="I762" s="3">
        <v>2</v>
      </c>
      <c r="J762" s="3" t="s">
        <v>16</v>
      </c>
      <c r="K762" s="3" t="s">
        <v>32</v>
      </c>
      <c r="L762" s="3">
        <v>50</v>
      </c>
      <c r="M762" s="3" t="s">
        <v>51</v>
      </c>
      <c r="N762" s="3" t="s">
        <v>48</v>
      </c>
      <c r="O762" s="3" t="s">
        <v>18</v>
      </c>
    </row>
    <row r="763" spans="1:15" x14ac:dyDescent="0.25">
      <c r="A763" s="3">
        <v>13216</v>
      </c>
      <c r="B763" s="3" t="s">
        <v>36</v>
      </c>
      <c r="C763" s="3" t="s">
        <v>39</v>
      </c>
      <c r="D763" s="4">
        <v>60000</v>
      </c>
      <c r="E763" s="3">
        <v>5</v>
      </c>
      <c r="F763" s="3" t="s">
        <v>13</v>
      </c>
      <c r="G763" s="3" t="s">
        <v>28</v>
      </c>
      <c r="H763" s="3" t="s">
        <v>15</v>
      </c>
      <c r="I763" s="3">
        <v>3</v>
      </c>
      <c r="J763" s="3" t="s">
        <v>46</v>
      </c>
      <c r="K763" s="3" t="s">
        <v>32</v>
      </c>
      <c r="L763" s="3">
        <v>59</v>
      </c>
      <c r="M763" s="3" t="s">
        <v>54</v>
      </c>
      <c r="N763" s="3" t="s">
        <v>50</v>
      </c>
      <c r="O763" s="3" t="s">
        <v>18</v>
      </c>
    </row>
    <row r="764" spans="1:15" x14ac:dyDescent="0.25">
      <c r="A764" s="3">
        <v>20657</v>
      </c>
      <c r="B764" s="3" t="s">
        <v>37</v>
      </c>
      <c r="C764" s="3" t="s">
        <v>38</v>
      </c>
      <c r="D764" s="4">
        <v>50000</v>
      </c>
      <c r="E764" s="3">
        <v>2</v>
      </c>
      <c r="F764" s="3" t="s">
        <v>13</v>
      </c>
      <c r="G764" s="3" t="s">
        <v>14</v>
      </c>
      <c r="H764" s="3" t="s">
        <v>15</v>
      </c>
      <c r="I764" s="3">
        <v>0</v>
      </c>
      <c r="J764" s="3" t="s">
        <v>22</v>
      </c>
      <c r="K764" s="3" t="s">
        <v>32</v>
      </c>
      <c r="L764" s="3">
        <v>37</v>
      </c>
      <c r="M764" s="3" t="s">
        <v>53</v>
      </c>
      <c r="N764" s="3" t="s">
        <v>49</v>
      </c>
      <c r="O764" s="3" t="s">
        <v>15</v>
      </c>
    </row>
    <row r="765" spans="1:15" x14ac:dyDescent="0.25">
      <c r="A765" s="3">
        <v>12882</v>
      </c>
      <c r="B765" s="3" t="s">
        <v>36</v>
      </c>
      <c r="C765" s="3" t="s">
        <v>38</v>
      </c>
      <c r="D765" s="4">
        <v>50000</v>
      </c>
      <c r="E765" s="3">
        <v>1</v>
      </c>
      <c r="F765" s="3" t="s">
        <v>31</v>
      </c>
      <c r="G765" s="3" t="s">
        <v>14</v>
      </c>
      <c r="H765" s="3" t="s">
        <v>15</v>
      </c>
      <c r="I765" s="3">
        <v>0</v>
      </c>
      <c r="J765" s="3" t="s">
        <v>16</v>
      </c>
      <c r="K765" s="3" t="s">
        <v>32</v>
      </c>
      <c r="L765" s="3">
        <v>33</v>
      </c>
      <c r="M765" s="3" t="s">
        <v>53</v>
      </c>
      <c r="N765" s="3" t="s">
        <v>49</v>
      </c>
      <c r="O765" s="3" t="s">
        <v>15</v>
      </c>
    </row>
    <row r="766" spans="1:15" x14ac:dyDescent="0.25">
      <c r="A766" s="3">
        <v>25908</v>
      </c>
      <c r="B766" s="3" t="s">
        <v>36</v>
      </c>
      <c r="C766" s="3" t="s">
        <v>39</v>
      </c>
      <c r="D766" s="4">
        <v>60000</v>
      </c>
      <c r="E766" s="3">
        <v>0</v>
      </c>
      <c r="F766" s="3" t="s">
        <v>19</v>
      </c>
      <c r="G766" s="3" t="s">
        <v>14</v>
      </c>
      <c r="H766" s="3" t="s">
        <v>18</v>
      </c>
      <c r="I766" s="3">
        <v>1</v>
      </c>
      <c r="J766" s="3" t="s">
        <v>26</v>
      </c>
      <c r="K766" s="3" t="s">
        <v>32</v>
      </c>
      <c r="L766" s="3">
        <v>27</v>
      </c>
      <c r="M766" s="3" t="s">
        <v>53</v>
      </c>
      <c r="N766" s="3" t="s">
        <v>49</v>
      </c>
      <c r="O766" s="3" t="s">
        <v>18</v>
      </c>
    </row>
    <row r="767" spans="1:15" x14ac:dyDescent="0.25">
      <c r="A767" s="3">
        <v>16753</v>
      </c>
      <c r="B767" s="3" t="s">
        <v>37</v>
      </c>
      <c r="C767" s="3" t="s">
        <v>39</v>
      </c>
      <c r="D767" s="4">
        <v>70000</v>
      </c>
      <c r="E767" s="3">
        <v>0</v>
      </c>
      <c r="F767" s="3" t="s">
        <v>19</v>
      </c>
      <c r="G767" s="3" t="s">
        <v>14</v>
      </c>
      <c r="H767" s="3" t="s">
        <v>15</v>
      </c>
      <c r="I767" s="3">
        <v>2</v>
      </c>
      <c r="J767" s="3" t="s">
        <v>23</v>
      </c>
      <c r="K767" s="3" t="s">
        <v>32</v>
      </c>
      <c r="L767" s="3">
        <v>34</v>
      </c>
      <c r="M767" s="3" t="s">
        <v>53</v>
      </c>
      <c r="N767" s="3" t="s">
        <v>49</v>
      </c>
      <c r="O767" s="3" t="s">
        <v>15</v>
      </c>
    </row>
    <row r="768" spans="1:15" x14ac:dyDescent="0.25">
      <c r="A768" s="3">
        <v>14608</v>
      </c>
      <c r="B768" s="3" t="s">
        <v>36</v>
      </c>
      <c r="C768" s="3" t="s">
        <v>38</v>
      </c>
      <c r="D768" s="4">
        <v>50000</v>
      </c>
      <c r="E768" s="3">
        <v>4</v>
      </c>
      <c r="F768" s="3" t="s">
        <v>13</v>
      </c>
      <c r="G768" s="3" t="s">
        <v>14</v>
      </c>
      <c r="H768" s="3" t="s">
        <v>15</v>
      </c>
      <c r="I768" s="3">
        <v>3</v>
      </c>
      <c r="J768" s="3" t="s">
        <v>46</v>
      </c>
      <c r="K768" s="3" t="s">
        <v>32</v>
      </c>
      <c r="L768" s="3">
        <v>42</v>
      </c>
      <c r="M768" s="3" t="s">
        <v>53</v>
      </c>
      <c r="N768" s="3" t="s">
        <v>49</v>
      </c>
      <c r="O768" s="3" t="s">
        <v>18</v>
      </c>
    </row>
    <row r="769" spans="1:15" x14ac:dyDescent="0.25">
      <c r="A769" s="3">
        <v>24979</v>
      </c>
      <c r="B769" s="3" t="s">
        <v>36</v>
      </c>
      <c r="C769" s="3" t="s">
        <v>39</v>
      </c>
      <c r="D769" s="4">
        <v>60000</v>
      </c>
      <c r="E769" s="3">
        <v>2</v>
      </c>
      <c r="F769" s="3" t="s">
        <v>19</v>
      </c>
      <c r="G769" s="3" t="s">
        <v>21</v>
      </c>
      <c r="H769" s="3" t="s">
        <v>15</v>
      </c>
      <c r="I769" s="3">
        <v>2</v>
      </c>
      <c r="J769" s="3" t="s">
        <v>22</v>
      </c>
      <c r="K769" s="3" t="s">
        <v>32</v>
      </c>
      <c r="L769" s="3">
        <v>57</v>
      </c>
      <c r="M769" s="3" t="s">
        <v>54</v>
      </c>
      <c r="N769" s="3" t="s">
        <v>50</v>
      </c>
      <c r="O769" s="3" t="s">
        <v>15</v>
      </c>
    </row>
    <row r="770" spans="1:15" x14ac:dyDescent="0.25">
      <c r="A770" s="3">
        <v>13313</v>
      </c>
      <c r="B770" s="3" t="s">
        <v>36</v>
      </c>
      <c r="C770" s="3" t="s">
        <v>39</v>
      </c>
      <c r="D770" s="4">
        <v>120000</v>
      </c>
      <c r="E770" s="3">
        <v>1</v>
      </c>
      <c r="F770" s="3" t="s">
        <v>27</v>
      </c>
      <c r="G770" s="3" t="s">
        <v>21</v>
      </c>
      <c r="H770" s="3" t="s">
        <v>18</v>
      </c>
      <c r="I770" s="3">
        <v>4</v>
      </c>
      <c r="J770" s="3" t="s">
        <v>22</v>
      </c>
      <c r="K770" s="3" t="s">
        <v>32</v>
      </c>
      <c r="L770" s="3">
        <v>45</v>
      </c>
      <c r="M770" s="3" t="s">
        <v>51</v>
      </c>
      <c r="N770" s="3" t="s">
        <v>48</v>
      </c>
      <c r="O770" s="3" t="s">
        <v>18</v>
      </c>
    </row>
    <row r="771" spans="1:15" x14ac:dyDescent="0.25">
      <c r="A771" s="3">
        <v>18952</v>
      </c>
      <c r="B771" s="3" t="s">
        <v>36</v>
      </c>
      <c r="C771" s="3" t="s">
        <v>39</v>
      </c>
      <c r="D771" s="4">
        <v>100000</v>
      </c>
      <c r="E771" s="3">
        <v>4</v>
      </c>
      <c r="F771" s="3" t="s">
        <v>13</v>
      </c>
      <c r="G771" s="3" t="s">
        <v>28</v>
      </c>
      <c r="H771" s="3" t="s">
        <v>15</v>
      </c>
      <c r="I771" s="3">
        <v>4</v>
      </c>
      <c r="J771" s="3" t="s">
        <v>16</v>
      </c>
      <c r="K771" s="3" t="s">
        <v>32</v>
      </c>
      <c r="L771" s="3">
        <v>40</v>
      </c>
      <c r="M771" s="3" t="s">
        <v>53</v>
      </c>
      <c r="N771" s="3" t="s">
        <v>49</v>
      </c>
      <c r="O771" s="3" t="s">
        <v>18</v>
      </c>
    </row>
    <row r="772" spans="1:15" x14ac:dyDescent="0.25">
      <c r="A772" s="3">
        <v>17699</v>
      </c>
      <c r="B772" s="3" t="s">
        <v>36</v>
      </c>
      <c r="C772" s="3" t="s">
        <v>38</v>
      </c>
      <c r="D772" s="4">
        <v>60000</v>
      </c>
      <c r="E772" s="3">
        <v>1</v>
      </c>
      <c r="F772" s="3" t="s">
        <v>31</v>
      </c>
      <c r="G772" s="3" t="s">
        <v>14</v>
      </c>
      <c r="H772" s="3" t="s">
        <v>18</v>
      </c>
      <c r="I772" s="3">
        <v>0</v>
      </c>
      <c r="J772" s="3" t="s">
        <v>16</v>
      </c>
      <c r="K772" s="3" t="s">
        <v>32</v>
      </c>
      <c r="L772" s="3">
        <v>55</v>
      </c>
      <c r="M772" s="3" t="s">
        <v>52</v>
      </c>
      <c r="N772" s="3" t="s">
        <v>47</v>
      </c>
      <c r="O772" s="3" t="s">
        <v>18</v>
      </c>
    </row>
    <row r="773" spans="1:15" x14ac:dyDescent="0.25">
      <c r="A773" s="3">
        <v>14657</v>
      </c>
      <c r="B773" s="3" t="s">
        <v>36</v>
      </c>
      <c r="C773" s="3" t="s">
        <v>38</v>
      </c>
      <c r="D773" s="4">
        <v>80000</v>
      </c>
      <c r="E773" s="3">
        <v>1</v>
      </c>
      <c r="F773" s="3" t="s">
        <v>19</v>
      </c>
      <c r="G773" s="3" t="s">
        <v>14</v>
      </c>
      <c r="H773" s="3" t="s">
        <v>18</v>
      </c>
      <c r="I773" s="3">
        <v>1</v>
      </c>
      <c r="J773" s="3" t="s">
        <v>16</v>
      </c>
      <c r="K773" s="3" t="s">
        <v>32</v>
      </c>
      <c r="L773" s="3">
        <v>47</v>
      </c>
      <c r="M773" s="3" t="s">
        <v>51</v>
      </c>
      <c r="N773" s="3" t="s">
        <v>48</v>
      </c>
      <c r="O773" s="3" t="s">
        <v>15</v>
      </c>
    </row>
    <row r="774" spans="1:15" x14ac:dyDescent="0.25">
      <c r="A774" s="3">
        <v>11540</v>
      </c>
      <c r="B774" s="3" t="s">
        <v>37</v>
      </c>
      <c r="C774" s="3" t="s">
        <v>38</v>
      </c>
      <c r="D774" s="4">
        <v>60000</v>
      </c>
      <c r="E774" s="3">
        <v>4</v>
      </c>
      <c r="F774" s="3" t="s">
        <v>31</v>
      </c>
      <c r="G774" s="3" t="s">
        <v>14</v>
      </c>
      <c r="H774" s="3" t="s">
        <v>15</v>
      </c>
      <c r="I774" s="3">
        <v>0</v>
      </c>
      <c r="J774" s="3" t="s">
        <v>26</v>
      </c>
      <c r="K774" s="3" t="s">
        <v>32</v>
      </c>
      <c r="L774" s="3">
        <v>47</v>
      </c>
      <c r="M774" s="3" t="s">
        <v>51</v>
      </c>
      <c r="N774" s="3" t="s">
        <v>48</v>
      </c>
      <c r="O774" s="3" t="s">
        <v>15</v>
      </c>
    </row>
    <row r="775" spans="1:15" x14ac:dyDescent="0.25">
      <c r="A775" s="3">
        <v>11783</v>
      </c>
      <c r="B775" s="3" t="s">
        <v>36</v>
      </c>
      <c r="C775" s="3" t="s">
        <v>39</v>
      </c>
      <c r="D775" s="4">
        <v>60000</v>
      </c>
      <c r="E775" s="3">
        <v>1</v>
      </c>
      <c r="F775" s="3" t="s">
        <v>31</v>
      </c>
      <c r="G775" s="3" t="s">
        <v>14</v>
      </c>
      <c r="H775" s="3" t="s">
        <v>15</v>
      </c>
      <c r="I775" s="3">
        <v>0</v>
      </c>
      <c r="J775" s="3" t="s">
        <v>16</v>
      </c>
      <c r="K775" s="3" t="s">
        <v>32</v>
      </c>
      <c r="L775" s="3">
        <v>34</v>
      </c>
      <c r="M775" s="3" t="s">
        <v>53</v>
      </c>
      <c r="N775" s="3" t="s">
        <v>49</v>
      </c>
      <c r="O775" s="3" t="s">
        <v>18</v>
      </c>
    </row>
    <row r="776" spans="1:15" x14ac:dyDescent="0.25">
      <c r="A776" s="3">
        <v>14602</v>
      </c>
      <c r="B776" s="3" t="s">
        <v>36</v>
      </c>
      <c r="C776" s="3" t="s">
        <v>39</v>
      </c>
      <c r="D776" s="4">
        <v>80000</v>
      </c>
      <c r="E776" s="3">
        <v>3</v>
      </c>
      <c r="F776" s="3" t="s">
        <v>31</v>
      </c>
      <c r="G776" s="3" t="s">
        <v>21</v>
      </c>
      <c r="H776" s="3" t="s">
        <v>15</v>
      </c>
      <c r="I776" s="3">
        <v>0</v>
      </c>
      <c r="J776" s="3" t="s">
        <v>16</v>
      </c>
      <c r="K776" s="3" t="s">
        <v>32</v>
      </c>
      <c r="L776" s="3">
        <v>36</v>
      </c>
      <c r="M776" s="3" t="s">
        <v>53</v>
      </c>
      <c r="N776" s="3" t="s">
        <v>49</v>
      </c>
      <c r="O776" s="3" t="s">
        <v>15</v>
      </c>
    </row>
    <row r="777" spans="1:15" x14ac:dyDescent="0.25">
      <c r="A777" s="3">
        <v>29030</v>
      </c>
      <c r="B777" s="3" t="s">
        <v>36</v>
      </c>
      <c r="C777" s="3" t="s">
        <v>38</v>
      </c>
      <c r="D777" s="4">
        <v>70000</v>
      </c>
      <c r="E777" s="3">
        <v>2</v>
      </c>
      <c r="F777" s="3" t="s">
        <v>29</v>
      </c>
      <c r="G777" s="3" t="s">
        <v>14</v>
      </c>
      <c r="H777" s="3" t="s">
        <v>15</v>
      </c>
      <c r="I777" s="3">
        <v>2</v>
      </c>
      <c r="J777" s="3" t="s">
        <v>46</v>
      </c>
      <c r="K777" s="3" t="s">
        <v>32</v>
      </c>
      <c r="L777" s="3">
        <v>54</v>
      </c>
      <c r="M777" s="3" t="s">
        <v>51</v>
      </c>
      <c r="N777" s="3" t="s">
        <v>48</v>
      </c>
      <c r="O777" s="3" t="s">
        <v>18</v>
      </c>
    </row>
    <row r="778" spans="1:15" x14ac:dyDescent="0.25">
      <c r="A778" s="3">
        <v>26490</v>
      </c>
      <c r="B778" s="3" t="s">
        <v>37</v>
      </c>
      <c r="C778" s="3" t="s">
        <v>38</v>
      </c>
      <c r="D778" s="4">
        <v>70000</v>
      </c>
      <c r="E778" s="3">
        <v>2</v>
      </c>
      <c r="F778" s="3" t="s">
        <v>13</v>
      </c>
      <c r="G778" s="3" t="s">
        <v>28</v>
      </c>
      <c r="H778" s="3" t="s">
        <v>18</v>
      </c>
      <c r="I778" s="3">
        <v>1</v>
      </c>
      <c r="J778" s="3" t="s">
        <v>22</v>
      </c>
      <c r="K778" s="3" t="s">
        <v>32</v>
      </c>
      <c r="L778" s="3">
        <v>59</v>
      </c>
      <c r="M778" s="3" t="s">
        <v>54</v>
      </c>
      <c r="N778" s="3" t="s">
        <v>50</v>
      </c>
      <c r="O778" s="3" t="s">
        <v>15</v>
      </c>
    </row>
    <row r="779" spans="1:15" x14ac:dyDescent="0.25">
      <c r="A779" s="3">
        <v>13151</v>
      </c>
      <c r="B779" s="3" t="s">
        <v>37</v>
      </c>
      <c r="C779" s="3" t="s">
        <v>38</v>
      </c>
      <c r="D779" s="4">
        <v>40000</v>
      </c>
      <c r="E779" s="3">
        <v>0</v>
      </c>
      <c r="F779" s="3" t="s">
        <v>27</v>
      </c>
      <c r="G779" s="3" t="s">
        <v>14</v>
      </c>
      <c r="H779" s="3" t="s">
        <v>15</v>
      </c>
      <c r="I779" s="3">
        <v>2</v>
      </c>
      <c r="J779" s="3" t="s">
        <v>23</v>
      </c>
      <c r="K779" s="3" t="s">
        <v>32</v>
      </c>
      <c r="L779" s="3">
        <v>27</v>
      </c>
      <c r="M779" s="3" t="s">
        <v>53</v>
      </c>
      <c r="N779" s="3" t="s">
        <v>49</v>
      </c>
      <c r="O779" s="3" t="s">
        <v>18</v>
      </c>
    </row>
    <row r="780" spans="1:15" x14ac:dyDescent="0.25">
      <c r="A780" s="3">
        <v>17260</v>
      </c>
      <c r="B780" s="3" t="s">
        <v>36</v>
      </c>
      <c r="C780" s="3" t="s">
        <v>38</v>
      </c>
      <c r="D780" s="4">
        <v>90000</v>
      </c>
      <c r="E780" s="3">
        <v>5</v>
      </c>
      <c r="F780" s="3" t="s">
        <v>19</v>
      </c>
      <c r="G780" s="3" t="s">
        <v>21</v>
      </c>
      <c r="H780" s="3" t="s">
        <v>15</v>
      </c>
      <c r="I780" s="3">
        <v>3</v>
      </c>
      <c r="J780" s="3" t="s">
        <v>16</v>
      </c>
      <c r="K780" s="3" t="s">
        <v>32</v>
      </c>
      <c r="L780" s="3">
        <v>41</v>
      </c>
      <c r="M780" s="3" t="s">
        <v>53</v>
      </c>
      <c r="N780" s="3" t="s">
        <v>49</v>
      </c>
      <c r="O780" s="3" t="s">
        <v>18</v>
      </c>
    </row>
    <row r="781" spans="1:15" x14ac:dyDescent="0.25">
      <c r="A781" s="3">
        <v>15372</v>
      </c>
      <c r="B781" s="3" t="s">
        <v>36</v>
      </c>
      <c r="C781" s="3" t="s">
        <v>38</v>
      </c>
      <c r="D781" s="4">
        <v>80000</v>
      </c>
      <c r="E781" s="3">
        <v>3</v>
      </c>
      <c r="F781" s="3" t="s">
        <v>19</v>
      </c>
      <c r="G781" s="3" t="s">
        <v>21</v>
      </c>
      <c r="H781" s="3" t="s">
        <v>18</v>
      </c>
      <c r="I781" s="3">
        <v>2</v>
      </c>
      <c r="J781" s="3" t="s">
        <v>22</v>
      </c>
      <c r="K781" s="3" t="s">
        <v>32</v>
      </c>
      <c r="L781" s="3">
        <v>50</v>
      </c>
      <c r="M781" s="3" t="s">
        <v>51</v>
      </c>
      <c r="N781" s="3" t="s">
        <v>48</v>
      </c>
      <c r="O781" s="3" t="s">
        <v>15</v>
      </c>
    </row>
    <row r="782" spans="1:15" x14ac:dyDescent="0.25">
      <c r="A782" s="3">
        <v>18105</v>
      </c>
      <c r="B782" s="3" t="s">
        <v>36</v>
      </c>
      <c r="C782" s="3" t="s">
        <v>39</v>
      </c>
      <c r="D782" s="4">
        <v>60000</v>
      </c>
      <c r="E782" s="3">
        <v>2</v>
      </c>
      <c r="F782" s="3" t="s">
        <v>19</v>
      </c>
      <c r="G782" s="3" t="s">
        <v>21</v>
      </c>
      <c r="H782" s="3" t="s">
        <v>15</v>
      </c>
      <c r="I782" s="3">
        <v>1</v>
      </c>
      <c r="J782" s="3" t="s">
        <v>46</v>
      </c>
      <c r="K782" s="3" t="s">
        <v>32</v>
      </c>
      <c r="L782" s="3">
        <v>55</v>
      </c>
      <c r="M782" s="3" t="s">
        <v>52</v>
      </c>
      <c r="N782" s="3" t="s">
        <v>47</v>
      </c>
      <c r="O782" s="3" t="s">
        <v>18</v>
      </c>
    </row>
    <row r="783" spans="1:15" x14ac:dyDescent="0.25">
      <c r="A783" s="3">
        <v>19660</v>
      </c>
      <c r="B783" s="3" t="s">
        <v>36</v>
      </c>
      <c r="C783" s="3" t="s">
        <v>38</v>
      </c>
      <c r="D783" s="4">
        <v>80000</v>
      </c>
      <c r="E783" s="3">
        <v>4</v>
      </c>
      <c r="F783" s="3" t="s">
        <v>13</v>
      </c>
      <c r="G783" s="3" t="s">
        <v>28</v>
      </c>
      <c r="H783" s="3" t="s">
        <v>15</v>
      </c>
      <c r="I783" s="3">
        <v>0</v>
      </c>
      <c r="J783" s="3" t="s">
        <v>16</v>
      </c>
      <c r="K783" s="3" t="s">
        <v>32</v>
      </c>
      <c r="L783" s="3">
        <v>43</v>
      </c>
      <c r="M783" s="3" t="s">
        <v>53</v>
      </c>
      <c r="N783" s="3" t="s">
        <v>49</v>
      </c>
      <c r="O783" s="3" t="s">
        <v>18</v>
      </c>
    </row>
    <row r="784" spans="1:15" x14ac:dyDescent="0.25">
      <c r="A784" s="3">
        <v>16112</v>
      </c>
      <c r="B784" s="3" t="s">
        <v>37</v>
      </c>
      <c r="C784" s="3" t="s">
        <v>38</v>
      </c>
      <c r="D784" s="4">
        <v>70000</v>
      </c>
      <c r="E784" s="3">
        <v>4</v>
      </c>
      <c r="F784" s="3" t="s">
        <v>13</v>
      </c>
      <c r="G784" s="3" t="s">
        <v>21</v>
      </c>
      <c r="H784" s="3" t="s">
        <v>15</v>
      </c>
      <c r="I784" s="3">
        <v>2</v>
      </c>
      <c r="J784" s="3" t="s">
        <v>22</v>
      </c>
      <c r="K784" s="3" t="s">
        <v>32</v>
      </c>
      <c r="L784" s="3">
        <v>43</v>
      </c>
      <c r="M784" s="3" t="s">
        <v>53</v>
      </c>
      <c r="N784" s="3" t="s">
        <v>49</v>
      </c>
      <c r="O784" s="3" t="s">
        <v>15</v>
      </c>
    </row>
    <row r="785" spans="1:15" x14ac:dyDescent="0.25">
      <c r="A785" s="3">
        <v>20698</v>
      </c>
      <c r="B785" s="3" t="s">
        <v>36</v>
      </c>
      <c r="C785" s="3" t="s">
        <v>38</v>
      </c>
      <c r="D785" s="4">
        <v>60000</v>
      </c>
      <c r="E785" s="3">
        <v>4</v>
      </c>
      <c r="F785" s="3" t="s">
        <v>13</v>
      </c>
      <c r="G785" s="3" t="s">
        <v>14</v>
      </c>
      <c r="H785" s="3" t="s">
        <v>15</v>
      </c>
      <c r="I785" s="3">
        <v>3</v>
      </c>
      <c r="J785" s="3" t="s">
        <v>23</v>
      </c>
      <c r="K785" s="3" t="s">
        <v>32</v>
      </c>
      <c r="L785" s="3">
        <v>42</v>
      </c>
      <c r="M785" s="3" t="s">
        <v>53</v>
      </c>
      <c r="N785" s="3" t="s">
        <v>49</v>
      </c>
      <c r="O785" s="3" t="s">
        <v>18</v>
      </c>
    </row>
    <row r="786" spans="1:15" x14ac:dyDescent="0.25">
      <c r="A786" s="3">
        <v>20076</v>
      </c>
      <c r="B786" s="3" t="s">
        <v>37</v>
      </c>
      <c r="C786" s="3" t="s">
        <v>39</v>
      </c>
      <c r="D786" s="4">
        <v>10000</v>
      </c>
      <c r="E786" s="3">
        <v>2</v>
      </c>
      <c r="F786" s="3" t="s">
        <v>27</v>
      </c>
      <c r="G786" s="3" t="s">
        <v>25</v>
      </c>
      <c r="H786" s="3" t="s">
        <v>15</v>
      </c>
      <c r="I786" s="3">
        <v>2</v>
      </c>
      <c r="J786" s="3" t="s">
        <v>26</v>
      </c>
      <c r="K786" s="3" t="s">
        <v>32</v>
      </c>
      <c r="L786" s="3">
        <v>53</v>
      </c>
      <c r="M786" s="3" t="s">
        <v>51</v>
      </c>
      <c r="N786" s="3" t="s">
        <v>48</v>
      </c>
      <c r="O786" s="3" t="s">
        <v>15</v>
      </c>
    </row>
    <row r="787" spans="1:15" x14ac:dyDescent="0.25">
      <c r="A787" s="3">
        <v>24496</v>
      </c>
      <c r="B787" s="3" t="s">
        <v>37</v>
      </c>
      <c r="C787" s="3" t="s">
        <v>39</v>
      </c>
      <c r="D787" s="4">
        <v>40000</v>
      </c>
      <c r="E787" s="3">
        <v>0</v>
      </c>
      <c r="F787" s="3" t="s">
        <v>27</v>
      </c>
      <c r="G787" s="3" t="s">
        <v>14</v>
      </c>
      <c r="H787" s="3" t="s">
        <v>18</v>
      </c>
      <c r="I787" s="3">
        <v>2</v>
      </c>
      <c r="J787" s="3" t="s">
        <v>16</v>
      </c>
      <c r="K787" s="3" t="s">
        <v>32</v>
      </c>
      <c r="L787" s="3">
        <v>28</v>
      </c>
      <c r="M787" s="3" t="s">
        <v>53</v>
      </c>
      <c r="N787" s="3" t="s">
        <v>49</v>
      </c>
      <c r="O787" s="3" t="s">
        <v>15</v>
      </c>
    </row>
    <row r="788" spans="1:15" x14ac:dyDescent="0.25">
      <c r="A788" s="3">
        <v>15468</v>
      </c>
      <c r="B788" s="3" t="s">
        <v>36</v>
      </c>
      <c r="C788" s="3" t="s">
        <v>39</v>
      </c>
      <c r="D788" s="4">
        <v>50000</v>
      </c>
      <c r="E788" s="3">
        <v>1</v>
      </c>
      <c r="F788" s="3" t="s">
        <v>13</v>
      </c>
      <c r="G788" s="3" t="s">
        <v>14</v>
      </c>
      <c r="H788" s="3" t="s">
        <v>15</v>
      </c>
      <c r="I788" s="3">
        <v>1</v>
      </c>
      <c r="J788" s="3" t="s">
        <v>16</v>
      </c>
      <c r="K788" s="3" t="s">
        <v>32</v>
      </c>
      <c r="L788" s="3">
        <v>35</v>
      </c>
      <c r="M788" s="3" t="s">
        <v>53</v>
      </c>
      <c r="N788" s="3" t="s">
        <v>49</v>
      </c>
      <c r="O788" s="3" t="s">
        <v>18</v>
      </c>
    </row>
    <row r="789" spans="1:15" x14ac:dyDescent="0.25">
      <c r="A789" s="3">
        <v>28031</v>
      </c>
      <c r="B789" s="3" t="s">
        <v>37</v>
      </c>
      <c r="C789" s="3" t="s">
        <v>39</v>
      </c>
      <c r="D789" s="4">
        <v>70000</v>
      </c>
      <c r="E789" s="3">
        <v>2</v>
      </c>
      <c r="F789" s="3" t="s">
        <v>13</v>
      </c>
      <c r="G789" s="3" t="s">
        <v>28</v>
      </c>
      <c r="H789" s="3" t="s">
        <v>18</v>
      </c>
      <c r="I789" s="3">
        <v>1</v>
      </c>
      <c r="J789" s="3" t="s">
        <v>22</v>
      </c>
      <c r="K789" s="3" t="s">
        <v>32</v>
      </c>
      <c r="L789" s="3">
        <v>59</v>
      </c>
      <c r="M789" s="3" t="s">
        <v>54</v>
      </c>
      <c r="N789" s="3" t="s">
        <v>50</v>
      </c>
      <c r="O789" s="3" t="s">
        <v>15</v>
      </c>
    </row>
    <row r="790" spans="1:15" x14ac:dyDescent="0.25">
      <c r="A790" s="3">
        <v>26270</v>
      </c>
      <c r="B790" s="3" t="s">
        <v>37</v>
      </c>
      <c r="C790" s="3" t="s">
        <v>39</v>
      </c>
      <c r="D790" s="4">
        <v>20000</v>
      </c>
      <c r="E790" s="3">
        <v>2</v>
      </c>
      <c r="F790" s="3" t="s">
        <v>29</v>
      </c>
      <c r="G790" s="3" t="s">
        <v>20</v>
      </c>
      <c r="H790" s="3" t="s">
        <v>15</v>
      </c>
      <c r="I790" s="3">
        <v>2</v>
      </c>
      <c r="J790" s="3" t="s">
        <v>26</v>
      </c>
      <c r="K790" s="3" t="s">
        <v>32</v>
      </c>
      <c r="L790" s="3">
        <v>49</v>
      </c>
      <c r="M790" s="3" t="s">
        <v>51</v>
      </c>
      <c r="N790" s="3" t="s">
        <v>48</v>
      </c>
      <c r="O790" s="3" t="s">
        <v>18</v>
      </c>
    </row>
    <row r="791" spans="1:15" x14ac:dyDescent="0.25">
      <c r="A791" s="3">
        <v>22221</v>
      </c>
      <c r="B791" s="3" t="s">
        <v>36</v>
      </c>
      <c r="C791" s="3" t="s">
        <v>38</v>
      </c>
      <c r="D791" s="4">
        <v>60000</v>
      </c>
      <c r="E791" s="3">
        <v>2</v>
      </c>
      <c r="F791" s="3" t="s">
        <v>27</v>
      </c>
      <c r="G791" s="3" t="s">
        <v>21</v>
      </c>
      <c r="H791" s="3" t="s">
        <v>18</v>
      </c>
      <c r="I791" s="3">
        <v>2</v>
      </c>
      <c r="J791" s="3" t="s">
        <v>26</v>
      </c>
      <c r="K791" s="3" t="s">
        <v>32</v>
      </c>
      <c r="L791" s="3">
        <v>48</v>
      </c>
      <c r="M791" s="3" t="s">
        <v>51</v>
      </c>
      <c r="N791" s="3" t="s">
        <v>48</v>
      </c>
      <c r="O791" s="3" t="s">
        <v>15</v>
      </c>
    </row>
    <row r="792" spans="1:15" x14ac:dyDescent="0.25">
      <c r="A792" s="3">
        <v>28228</v>
      </c>
      <c r="B792" s="3" t="s">
        <v>37</v>
      </c>
      <c r="C792" s="3" t="s">
        <v>39</v>
      </c>
      <c r="D792" s="4">
        <v>80000</v>
      </c>
      <c r="E792" s="3">
        <v>2</v>
      </c>
      <c r="F792" s="3" t="s">
        <v>29</v>
      </c>
      <c r="G792" s="3" t="s">
        <v>14</v>
      </c>
      <c r="H792" s="3" t="s">
        <v>18</v>
      </c>
      <c r="I792" s="3">
        <v>2</v>
      </c>
      <c r="J792" s="3" t="s">
        <v>26</v>
      </c>
      <c r="K792" s="3" t="s">
        <v>32</v>
      </c>
      <c r="L792" s="3">
        <v>50</v>
      </c>
      <c r="M792" s="3" t="s">
        <v>51</v>
      </c>
      <c r="N792" s="3" t="s">
        <v>48</v>
      </c>
      <c r="O792" s="3" t="s">
        <v>18</v>
      </c>
    </row>
    <row r="793" spans="1:15" x14ac:dyDescent="0.25">
      <c r="A793" s="3">
        <v>18363</v>
      </c>
      <c r="B793" s="3" t="s">
        <v>36</v>
      </c>
      <c r="C793" s="3" t="s">
        <v>38</v>
      </c>
      <c r="D793" s="4">
        <v>40000</v>
      </c>
      <c r="E793" s="3">
        <v>0</v>
      </c>
      <c r="F793" s="3" t="s">
        <v>27</v>
      </c>
      <c r="G793" s="3" t="s">
        <v>14</v>
      </c>
      <c r="H793" s="3" t="s">
        <v>15</v>
      </c>
      <c r="I793" s="3">
        <v>2</v>
      </c>
      <c r="J793" s="3" t="s">
        <v>23</v>
      </c>
      <c r="K793" s="3" t="s">
        <v>32</v>
      </c>
      <c r="L793" s="3">
        <v>28</v>
      </c>
      <c r="M793" s="3" t="s">
        <v>53</v>
      </c>
      <c r="N793" s="3" t="s">
        <v>49</v>
      </c>
      <c r="O793" s="3" t="s">
        <v>15</v>
      </c>
    </row>
    <row r="794" spans="1:15" x14ac:dyDescent="0.25">
      <c r="A794" s="3">
        <v>23256</v>
      </c>
      <c r="B794" s="3" t="s">
        <v>37</v>
      </c>
      <c r="C794" s="3" t="s">
        <v>38</v>
      </c>
      <c r="D794" s="4">
        <v>30000</v>
      </c>
      <c r="E794" s="3">
        <v>1</v>
      </c>
      <c r="F794" s="3" t="s">
        <v>27</v>
      </c>
      <c r="G794" s="3" t="s">
        <v>20</v>
      </c>
      <c r="H794" s="3" t="s">
        <v>18</v>
      </c>
      <c r="I794" s="3">
        <v>1</v>
      </c>
      <c r="J794" s="3" t="s">
        <v>23</v>
      </c>
      <c r="K794" s="3" t="s">
        <v>32</v>
      </c>
      <c r="L794" s="3">
        <v>52</v>
      </c>
      <c r="M794" s="3" t="s">
        <v>51</v>
      </c>
      <c r="N794" s="3" t="s">
        <v>48</v>
      </c>
      <c r="O794" s="3" t="s">
        <v>18</v>
      </c>
    </row>
    <row r="795" spans="1:15" x14ac:dyDescent="0.25">
      <c r="A795" s="3">
        <v>12768</v>
      </c>
      <c r="B795" s="3" t="s">
        <v>36</v>
      </c>
      <c r="C795" s="3" t="s">
        <v>38</v>
      </c>
      <c r="D795" s="4">
        <v>30000</v>
      </c>
      <c r="E795" s="3">
        <v>1</v>
      </c>
      <c r="F795" s="3" t="s">
        <v>27</v>
      </c>
      <c r="G795" s="3" t="s">
        <v>20</v>
      </c>
      <c r="H795" s="3" t="s">
        <v>15</v>
      </c>
      <c r="I795" s="3">
        <v>1</v>
      </c>
      <c r="J795" s="3" t="s">
        <v>22</v>
      </c>
      <c r="K795" s="3" t="s">
        <v>32</v>
      </c>
      <c r="L795" s="3">
        <v>52</v>
      </c>
      <c r="M795" s="3" t="s">
        <v>51</v>
      </c>
      <c r="N795" s="3" t="s">
        <v>48</v>
      </c>
      <c r="O795" s="3" t="s">
        <v>15</v>
      </c>
    </row>
    <row r="796" spans="1:15" x14ac:dyDescent="0.25">
      <c r="A796" s="3">
        <v>20361</v>
      </c>
      <c r="B796" s="3" t="s">
        <v>36</v>
      </c>
      <c r="C796" s="3" t="s">
        <v>38</v>
      </c>
      <c r="D796" s="4">
        <v>50000</v>
      </c>
      <c r="E796" s="3">
        <v>2</v>
      </c>
      <c r="F796" s="3" t="s">
        <v>31</v>
      </c>
      <c r="G796" s="3" t="s">
        <v>28</v>
      </c>
      <c r="H796" s="3" t="s">
        <v>15</v>
      </c>
      <c r="I796" s="3">
        <v>2</v>
      </c>
      <c r="J796" s="3" t="s">
        <v>23</v>
      </c>
      <c r="K796" s="3" t="s">
        <v>32</v>
      </c>
      <c r="L796" s="3">
        <v>69</v>
      </c>
      <c r="M796" s="3" t="s">
        <v>54</v>
      </c>
      <c r="N796" s="3" t="s">
        <v>50</v>
      </c>
      <c r="O796" s="3" t="s">
        <v>18</v>
      </c>
    </row>
    <row r="797" spans="1:15" x14ac:dyDescent="0.25">
      <c r="A797" s="3">
        <v>21306</v>
      </c>
      <c r="B797" s="3" t="s">
        <v>37</v>
      </c>
      <c r="C797" s="3" t="s">
        <v>38</v>
      </c>
      <c r="D797" s="4">
        <v>60000</v>
      </c>
      <c r="E797" s="3">
        <v>2</v>
      </c>
      <c r="F797" s="3" t="s">
        <v>27</v>
      </c>
      <c r="G797" s="3" t="s">
        <v>21</v>
      </c>
      <c r="H797" s="3" t="s">
        <v>15</v>
      </c>
      <c r="I797" s="3">
        <v>2</v>
      </c>
      <c r="J797" s="3" t="s">
        <v>23</v>
      </c>
      <c r="K797" s="3" t="s">
        <v>32</v>
      </c>
      <c r="L797" s="3">
        <v>51</v>
      </c>
      <c r="M797" s="3" t="s">
        <v>51</v>
      </c>
      <c r="N797" s="3" t="s">
        <v>48</v>
      </c>
      <c r="O797" s="3" t="s">
        <v>18</v>
      </c>
    </row>
    <row r="798" spans="1:15" x14ac:dyDescent="0.25">
      <c r="A798" s="3">
        <v>13382</v>
      </c>
      <c r="B798" s="3" t="s">
        <v>36</v>
      </c>
      <c r="C798" s="3" t="s">
        <v>38</v>
      </c>
      <c r="D798" s="4">
        <v>70000</v>
      </c>
      <c r="E798" s="3">
        <v>5</v>
      </c>
      <c r="F798" s="3" t="s">
        <v>19</v>
      </c>
      <c r="G798" s="3" t="s">
        <v>21</v>
      </c>
      <c r="H798" s="3" t="s">
        <v>15</v>
      </c>
      <c r="I798" s="3">
        <v>2</v>
      </c>
      <c r="J798" s="3" t="s">
        <v>26</v>
      </c>
      <c r="K798" s="3" t="s">
        <v>32</v>
      </c>
      <c r="L798" s="3">
        <v>57</v>
      </c>
      <c r="M798" s="3" t="s">
        <v>54</v>
      </c>
      <c r="N798" s="3" t="s">
        <v>50</v>
      </c>
      <c r="O798" s="3" t="s">
        <v>15</v>
      </c>
    </row>
    <row r="799" spans="1:15" x14ac:dyDescent="0.25">
      <c r="A799" s="3">
        <v>20310</v>
      </c>
      <c r="B799" s="3" t="s">
        <v>37</v>
      </c>
      <c r="C799" s="3" t="s">
        <v>38</v>
      </c>
      <c r="D799" s="4">
        <v>60000</v>
      </c>
      <c r="E799" s="3">
        <v>0</v>
      </c>
      <c r="F799" s="3" t="s">
        <v>19</v>
      </c>
      <c r="G799" s="3" t="s">
        <v>14</v>
      </c>
      <c r="H799" s="3" t="s">
        <v>15</v>
      </c>
      <c r="I799" s="3">
        <v>1</v>
      </c>
      <c r="J799" s="3" t="s">
        <v>23</v>
      </c>
      <c r="K799" s="3" t="s">
        <v>32</v>
      </c>
      <c r="L799" s="3">
        <v>27</v>
      </c>
      <c r="M799" s="3" t="s">
        <v>53</v>
      </c>
      <c r="N799" s="3" t="s">
        <v>49</v>
      </c>
      <c r="O799" s="3" t="s">
        <v>15</v>
      </c>
    </row>
    <row r="800" spans="1:15" x14ac:dyDescent="0.25">
      <c r="A800" s="3">
        <v>22971</v>
      </c>
      <c r="B800" s="3" t="s">
        <v>37</v>
      </c>
      <c r="C800" s="3" t="s">
        <v>39</v>
      </c>
      <c r="D800" s="4">
        <v>30000</v>
      </c>
      <c r="E800" s="3">
        <v>0</v>
      </c>
      <c r="F800" s="3" t="s">
        <v>27</v>
      </c>
      <c r="G800" s="3" t="s">
        <v>14</v>
      </c>
      <c r="H800" s="3" t="s">
        <v>18</v>
      </c>
      <c r="I800" s="3">
        <v>2</v>
      </c>
      <c r="J800" s="3" t="s">
        <v>16</v>
      </c>
      <c r="K800" s="3" t="s">
        <v>32</v>
      </c>
      <c r="L800" s="3">
        <v>25</v>
      </c>
      <c r="M800" s="3" t="s">
        <v>53</v>
      </c>
      <c r="N800" s="3" t="s">
        <v>49</v>
      </c>
      <c r="O800" s="3" t="s">
        <v>15</v>
      </c>
    </row>
    <row r="801" spans="1:15" x14ac:dyDescent="0.25">
      <c r="A801" s="3">
        <v>15287</v>
      </c>
      <c r="B801" s="3" t="s">
        <v>37</v>
      </c>
      <c r="C801" s="3" t="s">
        <v>39</v>
      </c>
      <c r="D801" s="4">
        <v>50000</v>
      </c>
      <c r="E801" s="3">
        <v>1</v>
      </c>
      <c r="F801" s="3" t="s">
        <v>31</v>
      </c>
      <c r="G801" s="3" t="s">
        <v>14</v>
      </c>
      <c r="H801" s="3" t="s">
        <v>15</v>
      </c>
      <c r="I801" s="3">
        <v>0</v>
      </c>
      <c r="J801" s="3" t="s">
        <v>26</v>
      </c>
      <c r="K801" s="3" t="s">
        <v>32</v>
      </c>
      <c r="L801" s="3">
        <v>33</v>
      </c>
      <c r="M801" s="3" t="s">
        <v>53</v>
      </c>
      <c r="N801" s="3" t="s">
        <v>49</v>
      </c>
      <c r="O801" s="3" t="s">
        <v>15</v>
      </c>
    </row>
    <row r="802" spans="1:15" x14ac:dyDescent="0.25">
      <c r="A802" s="3">
        <v>15532</v>
      </c>
      <c r="B802" s="3" t="s">
        <v>37</v>
      </c>
      <c r="C802" s="3" t="s">
        <v>38</v>
      </c>
      <c r="D802" s="4">
        <v>60000</v>
      </c>
      <c r="E802" s="3">
        <v>4</v>
      </c>
      <c r="F802" s="3" t="s">
        <v>13</v>
      </c>
      <c r="G802" s="3" t="s">
        <v>21</v>
      </c>
      <c r="H802" s="3" t="s">
        <v>15</v>
      </c>
      <c r="I802" s="3">
        <v>2</v>
      </c>
      <c r="J802" s="3" t="s">
        <v>22</v>
      </c>
      <c r="K802" s="3" t="s">
        <v>32</v>
      </c>
      <c r="L802" s="3">
        <v>43</v>
      </c>
      <c r="M802" s="3" t="s">
        <v>53</v>
      </c>
      <c r="N802" s="3" t="s">
        <v>49</v>
      </c>
      <c r="O802" s="3" t="s">
        <v>15</v>
      </c>
    </row>
    <row r="803" spans="1:15" x14ac:dyDescent="0.25">
      <c r="A803" s="3">
        <v>11255</v>
      </c>
      <c r="B803" s="3" t="s">
        <v>36</v>
      </c>
      <c r="C803" s="3" t="s">
        <v>38</v>
      </c>
      <c r="D803" s="4">
        <v>70000</v>
      </c>
      <c r="E803" s="3">
        <v>4</v>
      </c>
      <c r="F803" s="3" t="s">
        <v>31</v>
      </c>
      <c r="G803" s="3" t="s">
        <v>28</v>
      </c>
      <c r="H803" s="3" t="s">
        <v>15</v>
      </c>
      <c r="I803" s="3">
        <v>2</v>
      </c>
      <c r="J803" s="3" t="s">
        <v>23</v>
      </c>
      <c r="K803" s="3" t="s">
        <v>32</v>
      </c>
      <c r="L803" s="3">
        <v>73</v>
      </c>
      <c r="M803" s="3" t="s">
        <v>54</v>
      </c>
      <c r="N803" s="3" t="s">
        <v>50</v>
      </c>
      <c r="O803" s="3" t="s">
        <v>18</v>
      </c>
    </row>
    <row r="804" spans="1:15" x14ac:dyDescent="0.25">
      <c r="A804" s="3">
        <v>28090</v>
      </c>
      <c r="B804" s="3" t="s">
        <v>36</v>
      </c>
      <c r="C804" s="3" t="s">
        <v>38</v>
      </c>
      <c r="D804" s="4">
        <v>40000</v>
      </c>
      <c r="E804" s="3">
        <v>0</v>
      </c>
      <c r="F804" s="3" t="s">
        <v>19</v>
      </c>
      <c r="G804" s="3" t="s">
        <v>14</v>
      </c>
      <c r="H804" s="3" t="s">
        <v>15</v>
      </c>
      <c r="I804" s="3">
        <v>1</v>
      </c>
      <c r="J804" s="3" t="s">
        <v>23</v>
      </c>
      <c r="K804" s="3" t="s">
        <v>32</v>
      </c>
      <c r="L804" s="3">
        <v>27</v>
      </c>
      <c r="M804" s="3" t="s">
        <v>53</v>
      </c>
      <c r="N804" s="3" t="s">
        <v>49</v>
      </c>
      <c r="O804" s="3" t="s">
        <v>18</v>
      </c>
    </row>
    <row r="805" spans="1:15" x14ac:dyDescent="0.25">
      <c r="A805" s="3">
        <v>15255</v>
      </c>
      <c r="B805" s="3" t="s">
        <v>36</v>
      </c>
      <c r="C805" s="3" t="s">
        <v>38</v>
      </c>
      <c r="D805" s="4">
        <v>40000</v>
      </c>
      <c r="E805" s="3">
        <v>0</v>
      </c>
      <c r="F805" s="3" t="s">
        <v>27</v>
      </c>
      <c r="G805" s="3" t="s">
        <v>14</v>
      </c>
      <c r="H805" s="3" t="s">
        <v>15</v>
      </c>
      <c r="I805" s="3">
        <v>2</v>
      </c>
      <c r="J805" s="3" t="s">
        <v>23</v>
      </c>
      <c r="K805" s="3" t="s">
        <v>32</v>
      </c>
      <c r="L805" s="3">
        <v>28</v>
      </c>
      <c r="M805" s="3" t="s">
        <v>53</v>
      </c>
      <c r="N805" s="3" t="s">
        <v>49</v>
      </c>
      <c r="O805" s="3" t="s">
        <v>15</v>
      </c>
    </row>
    <row r="806" spans="1:15" x14ac:dyDescent="0.25">
      <c r="A806" s="3">
        <v>13154</v>
      </c>
      <c r="B806" s="3" t="s">
        <v>36</v>
      </c>
      <c r="C806" s="3" t="s">
        <v>38</v>
      </c>
      <c r="D806" s="4">
        <v>40000</v>
      </c>
      <c r="E806" s="3">
        <v>0</v>
      </c>
      <c r="F806" s="3" t="s">
        <v>27</v>
      </c>
      <c r="G806" s="3" t="s">
        <v>14</v>
      </c>
      <c r="H806" s="3" t="s">
        <v>18</v>
      </c>
      <c r="I806" s="3">
        <v>2</v>
      </c>
      <c r="J806" s="3" t="s">
        <v>16</v>
      </c>
      <c r="K806" s="3" t="s">
        <v>32</v>
      </c>
      <c r="L806" s="3">
        <v>27</v>
      </c>
      <c r="M806" s="3" t="s">
        <v>53</v>
      </c>
      <c r="N806" s="3" t="s">
        <v>49</v>
      </c>
      <c r="O806" s="3" t="s">
        <v>15</v>
      </c>
    </row>
    <row r="807" spans="1:15" x14ac:dyDescent="0.25">
      <c r="A807" s="3">
        <v>26778</v>
      </c>
      <c r="B807" s="3" t="s">
        <v>37</v>
      </c>
      <c r="C807" s="3" t="s">
        <v>39</v>
      </c>
      <c r="D807" s="4">
        <v>40000</v>
      </c>
      <c r="E807" s="3">
        <v>0</v>
      </c>
      <c r="F807" s="3" t="s">
        <v>27</v>
      </c>
      <c r="G807" s="3" t="s">
        <v>14</v>
      </c>
      <c r="H807" s="3" t="s">
        <v>15</v>
      </c>
      <c r="I807" s="3">
        <v>2</v>
      </c>
      <c r="J807" s="3" t="s">
        <v>23</v>
      </c>
      <c r="K807" s="3" t="s">
        <v>32</v>
      </c>
      <c r="L807" s="3">
        <v>31</v>
      </c>
      <c r="M807" s="3" t="s">
        <v>53</v>
      </c>
      <c r="N807" s="3" t="s">
        <v>49</v>
      </c>
      <c r="O807" s="3" t="s">
        <v>18</v>
      </c>
    </row>
    <row r="808" spans="1:15" x14ac:dyDescent="0.25">
      <c r="A808" s="3">
        <v>23248</v>
      </c>
      <c r="B808" s="3" t="s">
        <v>36</v>
      </c>
      <c r="C808" s="3" t="s">
        <v>39</v>
      </c>
      <c r="D808" s="4">
        <v>10000</v>
      </c>
      <c r="E808" s="3">
        <v>2</v>
      </c>
      <c r="F808" s="3" t="s">
        <v>27</v>
      </c>
      <c r="G808" s="3" t="s">
        <v>25</v>
      </c>
      <c r="H808" s="3" t="s">
        <v>15</v>
      </c>
      <c r="I808" s="3">
        <v>2</v>
      </c>
      <c r="J808" s="3" t="s">
        <v>26</v>
      </c>
      <c r="K808" s="3" t="s">
        <v>32</v>
      </c>
      <c r="L808" s="3">
        <v>53</v>
      </c>
      <c r="M808" s="3" t="s">
        <v>51</v>
      </c>
      <c r="N808" s="3" t="s">
        <v>48</v>
      </c>
      <c r="O808" s="3" t="s">
        <v>18</v>
      </c>
    </row>
    <row r="809" spans="1:15" x14ac:dyDescent="0.25">
      <c r="A809" s="3">
        <v>21417</v>
      </c>
      <c r="B809" s="3" t="s">
        <v>37</v>
      </c>
      <c r="C809" s="3" t="s">
        <v>39</v>
      </c>
      <c r="D809" s="4">
        <v>60000</v>
      </c>
      <c r="E809" s="3">
        <v>0</v>
      </c>
      <c r="F809" s="3" t="s">
        <v>19</v>
      </c>
      <c r="G809" s="3" t="s">
        <v>21</v>
      </c>
      <c r="H809" s="3" t="s">
        <v>18</v>
      </c>
      <c r="I809" s="3">
        <v>2</v>
      </c>
      <c r="J809" s="3" t="s">
        <v>26</v>
      </c>
      <c r="K809" s="3" t="s">
        <v>32</v>
      </c>
      <c r="L809" s="3">
        <v>32</v>
      </c>
      <c r="M809" s="3" t="s">
        <v>53</v>
      </c>
      <c r="N809" s="3" t="s">
        <v>49</v>
      </c>
      <c r="O809" s="3" t="s">
        <v>15</v>
      </c>
    </row>
    <row r="810" spans="1:15" x14ac:dyDescent="0.25">
      <c r="A810" s="3">
        <v>17668</v>
      </c>
      <c r="B810" s="3" t="s">
        <v>37</v>
      </c>
      <c r="C810" s="3" t="s">
        <v>38</v>
      </c>
      <c r="D810" s="4">
        <v>30000</v>
      </c>
      <c r="E810" s="3">
        <v>2</v>
      </c>
      <c r="F810" s="3" t="s">
        <v>27</v>
      </c>
      <c r="G810" s="3" t="s">
        <v>14</v>
      </c>
      <c r="H810" s="3" t="s">
        <v>15</v>
      </c>
      <c r="I810" s="3">
        <v>2</v>
      </c>
      <c r="J810" s="3" t="s">
        <v>26</v>
      </c>
      <c r="K810" s="3" t="s">
        <v>32</v>
      </c>
      <c r="L810" s="3">
        <v>50</v>
      </c>
      <c r="M810" s="3" t="s">
        <v>51</v>
      </c>
      <c r="N810" s="3" t="s">
        <v>48</v>
      </c>
      <c r="O810" s="3" t="s">
        <v>15</v>
      </c>
    </row>
    <row r="811" spans="1:15" x14ac:dyDescent="0.25">
      <c r="A811" s="3">
        <v>27994</v>
      </c>
      <c r="B811" s="3" t="s">
        <v>36</v>
      </c>
      <c r="C811" s="3" t="s">
        <v>39</v>
      </c>
      <c r="D811" s="4">
        <v>40000</v>
      </c>
      <c r="E811" s="3">
        <v>4</v>
      </c>
      <c r="F811" s="3" t="s">
        <v>27</v>
      </c>
      <c r="G811" s="3" t="s">
        <v>21</v>
      </c>
      <c r="H811" s="3" t="s">
        <v>15</v>
      </c>
      <c r="I811" s="3">
        <v>2</v>
      </c>
      <c r="J811" s="3" t="s">
        <v>23</v>
      </c>
      <c r="K811" s="3" t="s">
        <v>32</v>
      </c>
      <c r="L811" s="3">
        <v>69</v>
      </c>
      <c r="M811" s="3" t="s">
        <v>54</v>
      </c>
      <c r="N811" s="3" t="s">
        <v>50</v>
      </c>
      <c r="O811" s="3" t="s">
        <v>18</v>
      </c>
    </row>
    <row r="812" spans="1:15" x14ac:dyDescent="0.25">
      <c r="A812" s="3">
        <v>20376</v>
      </c>
      <c r="B812" s="3" t="s">
        <v>37</v>
      </c>
      <c r="C812" s="3" t="s">
        <v>39</v>
      </c>
      <c r="D812" s="4">
        <v>70000</v>
      </c>
      <c r="E812" s="3">
        <v>3</v>
      </c>
      <c r="F812" s="3" t="s">
        <v>31</v>
      </c>
      <c r="G812" s="3" t="s">
        <v>28</v>
      </c>
      <c r="H812" s="3" t="s">
        <v>15</v>
      </c>
      <c r="I812" s="3">
        <v>2</v>
      </c>
      <c r="J812" s="3" t="s">
        <v>23</v>
      </c>
      <c r="K812" s="3" t="s">
        <v>32</v>
      </c>
      <c r="L812" s="3">
        <v>52</v>
      </c>
      <c r="M812" s="3" t="s">
        <v>51</v>
      </c>
      <c r="N812" s="3" t="s">
        <v>48</v>
      </c>
      <c r="O812" s="3" t="s">
        <v>15</v>
      </c>
    </row>
    <row r="813" spans="1:15" x14ac:dyDescent="0.25">
      <c r="A813" s="3">
        <v>25954</v>
      </c>
      <c r="B813" s="3" t="s">
        <v>36</v>
      </c>
      <c r="C813" s="3" t="s">
        <v>38</v>
      </c>
      <c r="D813" s="4">
        <v>60000</v>
      </c>
      <c r="E813" s="3">
        <v>0</v>
      </c>
      <c r="F813" s="3" t="s">
        <v>19</v>
      </c>
      <c r="G813" s="3" t="s">
        <v>14</v>
      </c>
      <c r="H813" s="3" t="s">
        <v>18</v>
      </c>
      <c r="I813" s="3">
        <v>2</v>
      </c>
      <c r="J813" s="3" t="s">
        <v>26</v>
      </c>
      <c r="K813" s="3" t="s">
        <v>32</v>
      </c>
      <c r="L813" s="3">
        <v>31</v>
      </c>
      <c r="M813" s="3" t="s">
        <v>53</v>
      </c>
      <c r="N813" s="3" t="s">
        <v>49</v>
      </c>
      <c r="O813" s="3" t="s">
        <v>18</v>
      </c>
    </row>
    <row r="814" spans="1:15" x14ac:dyDescent="0.25">
      <c r="A814" s="3">
        <v>15749</v>
      </c>
      <c r="B814" s="3" t="s">
        <v>37</v>
      </c>
      <c r="C814" s="3" t="s">
        <v>39</v>
      </c>
      <c r="D814" s="4">
        <v>70000</v>
      </c>
      <c r="E814" s="3">
        <v>4</v>
      </c>
      <c r="F814" s="3" t="s">
        <v>13</v>
      </c>
      <c r="G814" s="3" t="s">
        <v>28</v>
      </c>
      <c r="H814" s="3" t="s">
        <v>15</v>
      </c>
      <c r="I814" s="3">
        <v>2</v>
      </c>
      <c r="J814" s="3" t="s">
        <v>46</v>
      </c>
      <c r="K814" s="3" t="s">
        <v>32</v>
      </c>
      <c r="L814" s="3">
        <v>61</v>
      </c>
      <c r="M814" s="3" t="s">
        <v>54</v>
      </c>
      <c r="N814" s="3" t="s">
        <v>50</v>
      </c>
      <c r="O814" s="3" t="s">
        <v>18</v>
      </c>
    </row>
    <row r="815" spans="1:15" x14ac:dyDescent="0.25">
      <c r="A815" s="3">
        <v>25899</v>
      </c>
      <c r="B815" s="3" t="s">
        <v>36</v>
      </c>
      <c r="C815" s="3" t="s">
        <v>39</v>
      </c>
      <c r="D815" s="4">
        <v>70000</v>
      </c>
      <c r="E815" s="3">
        <v>2</v>
      </c>
      <c r="F815" s="3" t="s">
        <v>27</v>
      </c>
      <c r="G815" s="3" t="s">
        <v>21</v>
      </c>
      <c r="H815" s="3" t="s">
        <v>15</v>
      </c>
      <c r="I815" s="3">
        <v>2</v>
      </c>
      <c r="J815" s="3" t="s">
        <v>46</v>
      </c>
      <c r="K815" s="3" t="s">
        <v>32</v>
      </c>
      <c r="L815" s="3">
        <v>53</v>
      </c>
      <c r="M815" s="3" t="s">
        <v>51</v>
      </c>
      <c r="N815" s="3" t="s">
        <v>48</v>
      </c>
      <c r="O815" s="3" t="s">
        <v>18</v>
      </c>
    </row>
    <row r="816" spans="1:15" x14ac:dyDescent="0.25">
      <c r="A816" s="3">
        <v>13351</v>
      </c>
      <c r="B816" s="3" t="s">
        <v>37</v>
      </c>
      <c r="C816" s="3" t="s">
        <v>39</v>
      </c>
      <c r="D816" s="4">
        <v>70000</v>
      </c>
      <c r="E816" s="3">
        <v>4</v>
      </c>
      <c r="F816" s="3" t="s">
        <v>13</v>
      </c>
      <c r="G816" s="3" t="s">
        <v>28</v>
      </c>
      <c r="H816" s="3" t="s">
        <v>15</v>
      </c>
      <c r="I816" s="3">
        <v>2</v>
      </c>
      <c r="J816" s="3" t="s">
        <v>26</v>
      </c>
      <c r="K816" s="3" t="s">
        <v>32</v>
      </c>
      <c r="L816" s="3">
        <v>62</v>
      </c>
      <c r="M816" s="3" t="s">
        <v>54</v>
      </c>
      <c r="N816" s="3" t="s">
        <v>50</v>
      </c>
      <c r="O816" s="3" t="s">
        <v>15</v>
      </c>
    </row>
    <row r="817" spans="1:15" x14ac:dyDescent="0.25">
      <c r="A817" s="3">
        <v>23333</v>
      </c>
      <c r="B817" s="3" t="s">
        <v>36</v>
      </c>
      <c r="C817" s="3" t="s">
        <v>38</v>
      </c>
      <c r="D817" s="4">
        <v>40000</v>
      </c>
      <c r="E817" s="3">
        <v>0</v>
      </c>
      <c r="F817" s="3" t="s">
        <v>19</v>
      </c>
      <c r="G817" s="3" t="s">
        <v>14</v>
      </c>
      <c r="H817" s="3" t="s">
        <v>18</v>
      </c>
      <c r="I817" s="3">
        <v>2</v>
      </c>
      <c r="J817" s="3" t="s">
        <v>26</v>
      </c>
      <c r="K817" s="3" t="s">
        <v>32</v>
      </c>
      <c r="L817" s="3">
        <v>30</v>
      </c>
      <c r="M817" s="3" t="s">
        <v>53</v>
      </c>
      <c r="N817" s="3" t="s">
        <v>49</v>
      </c>
      <c r="O817" s="3" t="s">
        <v>18</v>
      </c>
    </row>
    <row r="818" spans="1:15" x14ac:dyDescent="0.25">
      <c r="A818" s="3">
        <v>21660</v>
      </c>
      <c r="B818" s="3" t="s">
        <v>36</v>
      </c>
      <c r="C818" s="3" t="s">
        <v>39</v>
      </c>
      <c r="D818" s="4">
        <v>60000</v>
      </c>
      <c r="E818" s="3">
        <v>3</v>
      </c>
      <c r="F818" s="3" t="s">
        <v>31</v>
      </c>
      <c r="G818" s="3" t="s">
        <v>21</v>
      </c>
      <c r="H818" s="3" t="s">
        <v>15</v>
      </c>
      <c r="I818" s="3">
        <v>0</v>
      </c>
      <c r="J818" s="3" t="s">
        <v>22</v>
      </c>
      <c r="K818" s="3" t="s">
        <v>32</v>
      </c>
      <c r="L818" s="3">
        <v>43</v>
      </c>
      <c r="M818" s="3" t="s">
        <v>53</v>
      </c>
      <c r="N818" s="3" t="s">
        <v>49</v>
      </c>
      <c r="O818" s="3" t="s">
        <v>15</v>
      </c>
    </row>
    <row r="819" spans="1:15" x14ac:dyDescent="0.25">
      <c r="A819" s="3">
        <v>17012</v>
      </c>
      <c r="B819" s="3" t="s">
        <v>36</v>
      </c>
      <c r="C819" s="3" t="s">
        <v>39</v>
      </c>
      <c r="D819" s="4">
        <v>60000</v>
      </c>
      <c r="E819" s="3">
        <v>3</v>
      </c>
      <c r="F819" s="3" t="s">
        <v>31</v>
      </c>
      <c r="G819" s="3" t="s">
        <v>21</v>
      </c>
      <c r="H819" s="3" t="s">
        <v>15</v>
      </c>
      <c r="I819" s="3">
        <v>0</v>
      </c>
      <c r="J819" s="3" t="s">
        <v>22</v>
      </c>
      <c r="K819" s="3" t="s">
        <v>32</v>
      </c>
      <c r="L819" s="3">
        <v>42</v>
      </c>
      <c r="M819" s="3" t="s">
        <v>53</v>
      </c>
      <c r="N819" s="3" t="s">
        <v>49</v>
      </c>
      <c r="O819" s="3" t="s">
        <v>15</v>
      </c>
    </row>
    <row r="820" spans="1:15" x14ac:dyDescent="0.25">
      <c r="A820" s="3">
        <v>24514</v>
      </c>
      <c r="B820" s="3" t="s">
        <v>36</v>
      </c>
      <c r="C820" s="3" t="s">
        <v>38</v>
      </c>
      <c r="D820" s="4">
        <v>40000</v>
      </c>
      <c r="E820" s="3">
        <v>0</v>
      </c>
      <c r="F820" s="3" t="s">
        <v>19</v>
      </c>
      <c r="G820" s="3" t="s">
        <v>14</v>
      </c>
      <c r="H820" s="3" t="s">
        <v>15</v>
      </c>
      <c r="I820" s="3">
        <v>1</v>
      </c>
      <c r="J820" s="3" t="s">
        <v>23</v>
      </c>
      <c r="K820" s="3" t="s">
        <v>32</v>
      </c>
      <c r="L820" s="3">
        <v>30</v>
      </c>
      <c r="M820" s="3" t="s">
        <v>53</v>
      </c>
      <c r="N820" s="3" t="s">
        <v>49</v>
      </c>
      <c r="O820" s="3" t="s">
        <v>18</v>
      </c>
    </row>
    <row r="821" spans="1:15" x14ac:dyDescent="0.25">
      <c r="A821" s="3">
        <v>27505</v>
      </c>
      <c r="B821" s="3" t="s">
        <v>37</v>
      </c>
      <c r="C821" s="3" t="s">
        <v>39</v>
      </c>
      <c r="D821" s="4">
        <v>40000</v>
      </c>
      <c r="E821" s="3">
        <v>0</v>
      </c>
      <c r="F821" s="3" t="s">
        <v>27</v>
      </c>
      <c r="G821" s="3" t="s">
        <v>14</v>
      </c>
      <c r="H821" s="3" t="s">
        <v>15</v>
      </c>
      <c r="I821" s="3">
        <v>2</v>
      </c>
      <c r="J821" s="3" t="s">
        <v>23</v>
      </c>
      <c r="K821" s="3" t="s">
        <v>32</v>
      </c>
      <c r="L821" s="3">
        <v>30</v>
      </c>
      <c r="M821" s="3" t="s">
        <v>53</v>
      </c>
      <c r="N821" s="3" t="s">
        <v>49</v>
      </c>
      <c r="O821" s="3" t="s">
        <v>18</v>
      </c>
    </row>
    <row r="822" spans="1:15" x14ac:dyDescent="0.25">
      <c r="A822" s="3">
        <v>29243</v>
      </c>
      <c r="B822" s="3" t="s">
        <v>37</v>
      </c>
      <c r="C822" s="3" t="s">
        <v>38</v>
      </c>
      <c r="D822" s="4">
        <v>110000</v>
      </c>
      <c r="E822" s="3">
        <v>1</v>
      </c>
      <c r="F822" s="3" t="s">
        <v>13</v>
      </c>
      <c r="G822" s="3" t="s">
        <v>28</v>
      </c>
      <c r="H822" s="3" t="s">
        <v>15</v>
      </c>
      <c r="I822" s="3">
        <v>1</v>
      </c>
      <c r="J822" s="3" t="s">
        <v>23</v>
      </c>
      <c r="K822" s="3" t="s">
        <v>32</v>
      </c>
      <c r="L822" s="3">
        <v>43</v>
      </c>
      <c r="M822" s="3" t="s">
        <v>53</v>
      </c>
      <c r="N822" s="3" t="s">
        <v>49</v>
      </c>
      <c r="O822" s="3" t="s">
        <v>18</v>
      </c>
    </row>
    <row r="823" spans="1:15" x14ac:dyDescent="0.25">
      <c r="A823" s="3">
        <v>26582</v>
      </c>
      <c r="B823" s="3" t="s">
        <v>36</v>
      </c>
      <c r="C823" s="3" t="s">
        <v>38</v>
      </c>
      <c r="D823" s="4">
        <v>60000</v>
      </c>
      <c r="E823" s="3">
        <v>0</v>
      </c>
      <c r="F823" s="3" t="s">
        <v>19</v>
      </c>
      <c r="G823" s="3" t="s">
        <v>14</v>
      </c>
      <c r="H823" s="3" t="s">
        <v>15</v>
      </c>
      <c r="I823" s="3">
        <v>2</v>
      </c>
      <c r="J823" s="3" t="s">
        <v>23</v>
      </c>
      <c r="K823" s="3" t="s">
        <v>32</v>
      </c>
      <c r="L823" s="3">
        <v>33</v>
      </c>
      <c r="M823" s="3" t="s">
        <v>53</v>
      </c>
      <c r="N823" s="3" t="s">
        <v>49</v>
      </c>
      <c r="O823" s="3" t="s">
        <v>15</v>
      </c>
    </row>
    <row r="824" spans="1:15" x14ac:dyDescent="0.25">
      <c r="A824" s="3">
        <v>14271</v>
      </c>
      <c r="B824" s="3" t="s">
        <v>36</v>
      </c>
      <c r="C824" s="3" t="s">
        <v>38</v>
      </c>
      <c r="D824" s="4">
        <v>30000</v>
      </c>
      <c r="E824" s="3">
        <v>0</v>
      </c>
      <c r="F824" s="3" t="s">
        <v>27</v>
      </c>
      <c r="G824" s="3" t="s">
        <v>14</v>
      </c>
      <c r="H824" s="3" t="s">
        <v>15</v>
      </c>
      <c r="I824" s="3">
        <v>2</v>
      </c>
      <c r="J824" s="3" t="s">
        <v>23</v>
      </c>
      <c r="K824" s="3" t="s">
        <v>32</v>
      </c>
      <c r="L824" s="3">
        <v>32</v>
      </c>
      <c r="M824" s="3" t="s">
        <v>53</v>
      </c>
      <c r="N824" s="3" t="s">
        <v>49</v>
      </c>
      <c r="O824" s="3" t="s">
        <v>18</v>
      </c>
    </row>
    <row r="825" spans="1:15" x14ac:dyDescent="0.25">
      <c r="A825" s="3">
        <v>23041</v>
      </c>
      <c r="B825" s="3" t="s">
        <v>37</v>
      </c>
      <c r="C825" s="3" t="s">
        <v>39</v>
      </c>
      <c r="D825" s="4">
        <v>70000</v>
      </c>
      <c r="E825" s="3">
        <v>4</v>
      </c>
      <c r="F825" s="3" t="s">
        <v>27</v>
      </c>
      <c r="G825" s="3" t="s">
        <v>21</v>
      </c>
      <c r="H825" s="3" t="s">
        <v>15</v>
      </c>
      <c r="I825" s="3">
        <v>0</v>
      </c>
      <c r="J825" s="3" t="s">
        <v>23</v>
      </c>
      <c r="K825" s="3" t="s">
        <v>32</v>
      </c>
      <c r="L825" s="3">
        <v>50</v>
      </c>
      <c r="M825" s="3" t="s">
        <v>51</v>
      </c>
      <c r="N825" s="3" t="s">
        <v>48</v>
      </c>
      <c r="O825" s="3" t="s">
        <v>15</v>
      </c>
    </row>
    <row r="826" spans="1:15" x14ac:dyDescent="0.25">
      <c r="A826" s="3">
        <v>29048</v>
      </c>
      <c r="B826" s="3" t="s">
        <v>37</v>
      </c>
      <c r="C826" s="3" t="s">
        <v>38</v>
      </c>
      <c r="D826" s="4">
        <v>110000</v>
      </c>
      <c r="E826" s="3">
        <v>2</v>
      </c>
      <c r="F826" s="3" t="s">
        <v>13</v>
      </c>
      <c r="G826" s="3" t="s">
        <v>28</v>
      </c>
      <c r="H826" s="3" t="s">
        <v>18</v>
      </c>
      <c r="I826" s="3">
        <v>3</v>
      </c>
      <c r="J826" s="3" t="s">
        <v>16</v>
      </c>
      <c r="K826" s="3" t="s">
        <v>32</v>
      </c>
      <c r="L826" s="3">
        <v>37</v>
      </c>
      <c r="M826" s="3" t="s">
        <v>53</v>
      </c>
      <c r="N826" s="3" t="s">
        <v>49</v>
      </c>
      <c r="O826" s="3" t="s">
        <v>15</v>
      </c>
    </row>
    <row r="827" spans="1:15" x14ac:dyDescent="0.25">
      <c r="A827" s="3">
        <v>24433</v>
      </c>
      <c r="B827" s="3" t="s">
        <v>36</v>
      </c>
      <c r="C827" s="3" t="s">
        <v>38</v>
      </c>
      <c r="D827" s="4">
        <v>70000</v>
      </c>
      <c r="E827" s="3">
        <v>3</v>
      </c>
      <c r="F827" s="3" t="s">
        <v>27</v>
      </c>
      <c r="G827" s="3" t="s">
        <v>21</v>
      </c>
      <c r="H827" s="3" t="s">
        <v>18</v>
      </c>
      <c r="I827" s="3">
        <v>1</v>
      </c>
      <c r="J827" s="3" t="s">
        <v>26</v>
      </c>
      <c r="K827" s="3" t="s">
        <v>32</v>
      </c>
      <c r="L827" s="3">
        <v>52</v>
      </c>
      <c r="M827" s="3" t="s">
        <v>51</v>
      </c>
      <c r="N827" s="3" t="s">
        <v>48</v>
      </c>
      <c r="O827" s="3" t="s">
        <v>15</v>
      </c>
    </row>
    <row r="828" spans="1:15" x14ac:dyDescent="0.25">
      <c r="A828" s="3">
        <v>15501</v>
      </c>
      <c r="B828" s="3" t="s">
        <v>36</v>
      </c>
      <c r="C828" s="3" t="s">
        <v>38</v>
      </c>
      <c r="D828" s="4">
        <v>70000</v>
      </c>
      <c r="E828" s="3">
        <v>4</v>
      </c>
      <c r="F828" s="3" t="s">
        <v>31</v>
      </c>
      <c r="G828" s="3" t="s">
        <v>21</v>
      </c>
      <c r="H828" s="3" t="s">
        <v>15</v>
      </c>
      <c r="I828" s="3">
        <v>0</v>
      </c>
      <c r="J828" s="3" t="s">
        <v>22</v>
      </c>
      <c r="K828" s="3" t="s">
        <v>32</v>
      </c>
      <c r="L828" s="3">
        <v>36</v>
      </c>
      <c r="M828" s="3" t="s">
        <v>53</v>
      </c>
      <c r="N828" s="3" t="s">
        <v>49</v>
      </c>
      <c r="O828" s="3" t="s">
        <v>15</v>
      </c>
    </row>
    <row r="829" spans="1:15" x14ac:dyDescent="0.25">
      <c r="A829" s="3">
        <v>13911</v>
      </c>
      <c r="B829" s="3" t="s">
        <v>37</v>
      </c>
      <c r="C829" s="3" t="s">
        <v>39</v>
      </c>
      <c r="D829" s="4">
        <v>80000</v>
      </c>
      <c r="E829" s="3">
        <v>3</v>
      </c>
      <c r="F829" s="3" t="s">
        <v>13</v>
      </c>
      <c r="G829" s="3" t="s">
        <v>14</v>
      </c>
      <c r="H829" s="3" t="s">
        <v>15</v>
      </c>
      <c r="I829" s="3">
        <v>2</v>
      </c>
      <c r="J829" s="3" t="s">
        <v>22</v>
      </c>
      <c r="K829" s="3" t="s">
        <v>32</v>
      </c>
      <c r="L829" s="3">
        <v>41</v>
      </c>
      <c r="M829" s="3" t="s">
        <v>53</v>
      </c>
      <c r="N829" s="3" t="s">
        <v>49</v>
      </c>
      <c r="O829" s="3" t="s">
        <v>15</v>
      </c>
    </row>
    <row r="830" spans="1:15" x14ac:dyDescent="0.25">
      <c r="A830" s="3">
        <v>20421</v>
      </c>
      <c r="B830" s="3" t="s">
        <v>37</v>
      </c>
      <c r="C830" s="3" t="s">
        <v>39</v>
      </c>
      <c r="D830" s="4">
        <v>40000</v>
      </c>
      <c r="E830" s="3">
        <v>0</v>
      </c>
      <c r="F830" s="3" t="s">
        <v>29</v>
      </c>
      <c r="G830" s="3" t="s">
        <v>20</v>
      </c>
      <c r="H830" s="3" t="s">
        <v>15</v>
      </c>
      <c r="I830" s="3">
        <v>2</v>
      </c>
      <c r="J830" s="3" t="s">
        <v>23</v>
      </c>
      <c r="K830" s="3" t="s">
        <v>32</v>
      </c>
      <c r="L830" s="3">
        <v>26</v>
      </c>
      <c r="M830" s="3" t="s">
        <v>53</v>
      </c>
      <c r="N830" s="3" t="s">
        <v>49</v>
      </c>
      <c r="O830" s="3" t="s">
        <v>18</v>
      </c>
    </row>
    <row r="831" spans="1:15" x14ac:dyDescent="0.25">
      <c r="A831" s="3">
        <v>16009</v>
      </c>
      <c r="B831" s="3" t="s">
        <v>37</v>
      </c>
      <c r="C831" s="3" t="s">
        <v>38</v>
      </c>
      <c r="D831" s="4">
        <v>170000</v>
      </c>
      <c r="E831" s="3">
        <v>1</v>
      </c>
      <c r="F831" s="3" t="s">
        <v>31</v>
      </c>
      <c r="G831" s="3" t="s">
        <v>28</v>
      </c>
      <c r="H831" s="3" t="s">
        <v>18</v>
      </c>
      <c r="I831" s="3">
        <v>4</v>
      </c>
      <c r="J831" s="3" t="s">
        <v>16</v>
      </c>
      <c r="K831" s="3" t="s">
        <v>32</v>
      </c>
      <c r="L831" s="3">
        <v>66</v>
      </c>
      <c r="M831" s="3" t="s">
        <v>54</v>
      </c>
      <c r="N831" s="3" t="s">
        <v>50</v>
      </c>
      <c r="O831" s="3" t="s">
        <v>18</v>
      </c>
    </row>
    <row r="832" spans="1:15" x14ac:dyDescent="0.25">
      <c r="A832" s="3">
        <v>18411</v>
      </c>
      <c r="B832" s="3" t="s">
        <v>36</v>
      </c>
      <c r="C832" s="3" t="s">
        <v>38</v>
      </c>
      <c r="D832" s="4">
        <v>60000</v>
      </c>
      <c r="E832" s="3">
        <v>2</v>
      </c>
      <c r="F832" s="3" t="s">
        <v>27</v>
      </c>
      <c r="G832" s="3" t="s">
        <v>21</v>
      </c>
      <c r="H832" s="3" t="s">
        <v>18</v>
      </c>
      <c r="I832" s="3">
        <v>2</v>
      </c>
      <c r="J832" s="3" t="s">
        <v>23</v>
      </c>
      <c r="K832" s="3" t="s">
        <v>32</v>
      </c>
      <c r="L832" s="3">
        <v>51</v>
      </c>
      <c r="M832" s="3" t="s">
        <v>51</v>
      </c>
      <c r="N832" s="3" t="s">
        <v>48</v>
      </c>
      <c r="O832" s="3" t="s">
        <v>18</v>
      </c>
    </row>
    <row r="833" spans="1:15" x14ac:dyDescent="0.25">
      <c r="A833" s="3">
        <v>19163</v>
      </c>
      <c r="B833" s="3" t="s">
        <v>36</v>
      </c>
      <c r="C833" s="3" t="s">
        <v>39</v>
      </c>
      <c r="D833" s="4">
        <v>70000</v>
      </c>
      <c r="E833" s="3">
        <v>4</v>
      </c>
      <c r="F833" s="3" t="s">
        <v>13</v>
      </c>
      <c r="G833" s="3" t="s">
        <v>21</v>
      </c>
      <c r="H833" s="3" t="s">
        <v>15</v>
      </c>
      <c r="I833" s="3">
        <v>2</v>
      </c>
      <c r="J833" s="3" t="s">
        <v>16</v>
      </c>
      <c r="K833" s="3" t="s">
        <v>32</v>
      </c>
      <c r="L833" s="3">
        <v>43</v>
      </c>
      <c r="M833" s="3" t="s">
        <v>53</v>
      </c>
      <c r="N833" s="3" t="s">
        <v>49</v>
      </c>
      <c r="O833" s="3" t="s">
        <v>15</v>
      </c>
    </row>
    <row r="834" spans="1:15" x14ac:dyDescent="0.25">
      <c r="A834" s="3">
        <v>18572</v>
      </c>
      <c r="B834" s="3" t="s">
        <v>36</v>
      </c>
      <c r="C834" s="3" t="s">
        <v>39</v>
      </c>
      <c r="D834" s="4">
        <v>60000</v>
      </c>
      <c r="E834" s="3">
        <v>0</v>
      </c>
      <c r="F834" s="3" t="s">
        <v>31</v>
      </c>
      <c r="G834" s="3" t="s">
        <v>21</v>
      </c>
      <c r="H834" s="3" t="s">
        <v>15</v>
      </c>
      <c r="I834" s="3">
        <v>0</v>
      </c>
      <c r="J834" s="3" t="s">
        <v>16</v>
      </c>
      <c r="K834" s="3" t="s">
        <v>32</v>
      </c>
      <c r="L834" s="3">
        <v>39</v>
      </c>
      <c r="M834" s="3" t="s">
        <v>53</v>
      </c>
      <c r="N834" s="3" t="s">
        <v>49</v>
      </c>
      <c r="O834" s="3" t="s">
        <v>18</v>
      </c>
    </row>
    <row r="835" spans="1:15" x14ac:dyDescent="0.25">
      <c r="A835" s="3">
        <v>27540</v>
      </c>
      <c r="B835" s="3" t="s">
        <v>37</v>
      </c>
      <c r="C835" s="3" t="s">
        <v>39</v>
      </c>
      <c r="D835" s="4">
        <v>70000</v>
      </c>
      <c r="E835" s="3">
        <v>0</v>
      </c>
      <c r="F835" s="3" t="s">
        <v>13</v>
      </c>
      <c r="G835" s="3" t="s">
        <v>21</v>
      </c>
      <c r="H835" s="3" t="s">
        <v>18</v>
      </c>
      <c r="I835" s="3">
        <v>1</v>
      </c>
      <c r="J835" s="3" t="s">
        <v>16</v>
      </c>
      <c r="K835" s="3" t="s">
        <v>32</v>
      </c>
      <c r="L835" s="3">
        <v>37</v>
      </c>
      <c r="M835" s="3" t="s">
        <v>53</v>
      </c>
      <c r="N835" s="3" t="s">
        <v>49</v>
      </c>
      <c r="O835" s="3" t="s">
        <v>15</v>
      </c>
    </row>
    <row r="836" spans="1:15" x14ac:dyDescent="0.25">
      <c r="A836" s="3">
        <v>19889</v>
      </c>
      <c r="B836" s="3" t="s">
        <v>37</v>
      </c>
      <c r="C836" s="3" t="s">
        <v>39</v>
      </c>
      <c r="D836" s="4">
        <v>70000</v>
      </c>
      <c r="E836" s="3">
        <v>2</v>
      </c>
      <c r="F836" s="3" t="s">
        <v>29</v>
      </c>
      <c r="G836" s="3" t="s">
        <v>14</v>
      </c>
      <c r="H836" s="3" t="s">
        <v>18</v>
      </c>
      <c r="I836" s="3">
        <v>2</v>
      </c>
      <c r="J836" s="3" t="s">
        <v>22</v>
      </c>
      <c r="K836" s="3" t="s">
        <v>32</v>
      </c>
      <c r="L836" s="3">
        <v>54</v>
      </c>
      <c r="M836" s="3" t="s">
        <v>51</v>
      </c>
      <c r="N836" s="3" t="s">
        <v>48</v>
      </c>
      <c r="O836" s="3" t="s">
        <v>15</v>
      </c>
    </row>
    <row r="837" spans="1:15" x14ac:dyDescent="0.25">
      <c r="A837" s="3">
        <v>12922</v>
      </c>
      <c r="B837" s="3" t="s">
        <v>37</v>
      </c>
      <c r="C837" s="3" t="s">
        <v>39</v>
      </c>
      <c r="D837" s="4">
        <v>60000</v>
      </c>
      <c r="E837" s="3">
        <v>3</v>
      </c>
      <c r="F837" s="3" t="s">
        <v>13</v>
      </c>
      <c r="G837" s="3" t="s">
        <v>14</v>
      </c>
      <c r="H837" s="3" t="s">
        <v>15</v>
      </c>
      <c r="I837" s="3">
        <v>0</v>
      </c>
      <c r="J837" s="3" t="s">
        <v>22</v>
      </c>
      <c r="K837" s="3" t="s">
        <v>32</v>
      </c>
      <c r="L837" s="3">
        <v>40</v>
      </c>
      <c r="M837" s="3" t="s">
        <v>53</v>
      </c>
      <c r="N837" s="3" t="s">
        <v>49</v>
      </c>
      <c r="O837" s="3" t="s">
        <v>15</v>
      </c>
    </row>
    <row r="838" spans="1:15" x14ac:dyDescent="0.25">
      <c r="A838" s="3">
        <v>18891</v>
      </c>
      <c r="B838" s="3" t="s">
        <v>36</v>
      </c>
      <c r="C838" s="3" t="s">
        <v>39</v>
      </c>
      <c r="D838" s="4">
        <v>40000</v>
      </c>
      <c r="E838" s="3">
        <v>0</v>
      </c>
      <c r="F838" s="3" t="s">
        <v>19</v>
      </c>
      <c r="G838" s="3" t="s">
        <v>14</v>
      </c>
      <c r="H838" s="3" t="s">
        <v>15</v>
      </c>
      <c r="I838" s="3">
        <v>2</v>
      </c>
      <c r="J838" s="3" t="s">
        <v>23</v>
      </c>
      <c r="K838" s="3" t="s">
        <v>32</v>
      </c>
      <c r="L838" s="3">
        <v>28</v>
      </c>
      <c r="M838" s="3" t="s">
        <v>53</v>
      </c>
      <c r="N838" s="3" t="s">
        <v>49</v>
      </c>
      <c r="O838" s="3" t="s">
        <v>18</v>
      </c>
    </row>
    <row r="839" spans="1:15" x14ac:dyDescent="0.25">
      <c r="A839" s="3">
        <v>16773</v>
      </c>
      <c r="B839" s="3" t="s">
        <v>36</v>
      </c>
      <c r="C839" s="3" t="s">
        <v>38</v>
      </c>
      <c r="D839" s="4">
        <v>60000</v>
      </c>
      <c r="E839" s="3">
        <v>1</v>
      </c>
      <c r="F839" s="3" t="s">
        <v>31</v>
      </c>
      <c r="G839" s="3" t="s">
        <v>14</v>
      </c>
      <c r="H839" s="3" t="s">
        <v>15</v>
      </c>
      <c r="I839" s="3">
        <v>0</v>
      </c>
      <c r="J839" s="3" t="s">
        <v>16</v>
      </c>
      <c r="K839" s="3" t="s">
        <v>32</v>
      </c>
      <c r="L839" s="3">
        <v>33</v>
      </c>
      <c r="M839" s="3" t="s">
        <v>53</v>
      </c>
      <c r="N839" s="3" t="s">
        <v>49</v>
      </c>
      <c r="O839" s="3" t="s">
        <v>18</v>
      </c>
    </row>
    <row r="840" spans="1:15" x14ac:dyDescent="0.25">
      <c r="A840" s="3">
        <v>19143</v>
      </c>
      <c r="B840" s="3" t="s">
        <v>37</v>
      </c>
      <c r="C840" s="3" t="s">
        <v>39</v>
      </c>
      <c r="D840" s="4">
        <v>80000</v>
      </c>
      <c r="E840" s="3">
        <v>3</v>
      </c>
      <c r="F840" s="3" t="s">
        <v>13</v>
      </c>
      <c r="G840" s="3" t="s">
        <v>14</v>
      </c>
      <c r="H840" s="3" t="s">
        <v>15</v>
      </c>
      <c r="I840" s="3">
        <v>2</v>
      </c>
      <c r="J840" s="3" t="s">
        <v>22</v>
      </c>
      <c r="K840" s="3" t="s">
        <v>32</v>
      </c>
      <c r="L840" s="3">
        <v>41</v>
      </c>
      <c r="M840" s="3" t="s">
        <v>53</v>
      </c>
      <c r="N840" s="3" t="s">
        <v>49</v>
      </c>
      <c r="O840" s="3" t="s">
        <v>15</v>
      </c>
    </row>
    <row r="841" spans="1:15" x14ac:dyDescent="0.25">
      <c r="A841" s="3">
        <v>23882</v>
      </c>
      <c r="B841" s="3" t="s">
        <v>37</v>
      </c>
      <c r="C841" s="3" t="s">
        <v>39</v>
      </c>
      <c r="D841" s="4">
        <v>80000</v>
      </c>
      <c r="E841" s="3">
        <v>3</v>
      </c>
      <c r="F841" s="3" t="s">
        <v>31</v>
      </c>
      <c r="G841" s="3" t="s">
        <v>21</v>
      </c>
      <c r="H841" s="3" t="s">
        <v>15</v>
      </c>
      <c r="I841" s="3">
        <v>0</v>
      </c>
      <c r="J841" s="3" t="s">
        <v>16</v>
      </c>
      <c r="K841" s="3" t="s">
        <v>32</v>
      </c>
      <c r="L841" s="3">
        <v>37</v>
      </c>
      <c r="M841" s="3" t="s">
        <v>53</v>
      </c>
      <c r="N841" s="3" t="s">
        <v>49</v>
      </c>
      <c r="O841" s="3" t="s">
        <v>15</v>
      </c>
    </row>
    <row r="842" spans="1:15" x14ac:dyDescent="0.25">
      <c r="A842" s="3">
        <v>11233</v>
      </c>
      <c r="B842" s="3" t="s">
        <v>36</v>
      </c>
      <c r="C842" s="3" t="s">
        <v>38</v>
      </c>
      <c r="D842" s="4">
        <v>70000</v>
      </c>
      <c r="E842" s="3">
        <v>4</v>
      </c>
      <c r="F842" s="3" t="s">
        <v>19</v>
      </c>
      <c r="G842" s="3" t="s">
        <v>21</v>
      </c>
      <c r="H842" s="3" t="s">
        <v>15</v>
      </c>
      <c r="I842" s="3">
        <v>2</v>
      </c>
      <c r="J842" s="3" t="s">
        <v>46</v>
      </c>
      <c r="K842" s="3" t="s">
        <v>32</v>
      </c>
      <c r="L842" s="3">
        <v>53</v>
      </c>
      <c r="M842" s="3" t="s">
        <v>51</v>
      </c>
      <c r="N842" s="3" t="s">
        <v>48</v>
      </c>
      <c r="O842" s="3" t="s">
        <v>18</v>
      </c>
    </row>
    <row r="843" spans="1:15" x14ac:dyDescent="0.25">
      <c r="A843" s="3">
        <v>12056</v>
      </c>
      <c r="B843" s="3" t="s">
        <v>36</v>
      </c>
      <c r="C843" s="3" t="s">
        <v>38</v>
      </c>
      <c r="D843" s="4">
        <v>120000</v>
      </c>
      <c r="E843" s="3">
        <v>2</v>
      </c>
      <c r="F843" s="3" t="s">
        <v>31</v>
      </c>
      <c r="G843" s="3" t="s">
        <v>28</v>
      </c>
      <c r="H843" s="3" t="s">
        <v>15</v>
      </c>
      <c r="I843" s="3">
        <v>3</v>
      </c>
      <c r="J843" s="3" t="s">
        <v>23</v>
      </c>
      <c r="K843" s="3" t="s">
        <v>32</v>
      </c>
      <c r="L843" s="3">
        <v>64</v>
      </c>
      <c r="M843" s="3" t="s">
        <v>54</v>
      </c>
      <c r="N843" s="3" t="s">
        <v>50</v>
      </c>
      <c r="O843" s="3" t="s">
        <v>18</v>
      </c>
    </row>
    <row r="844" spans="1:15" x14ac:dyDescent="0.25">
      <c r="A844" s="3">
        <v>15555</v>
      </c>
      <c r="B844" s="3" t="s">
        <v>36</v>
      </c>
      <c r="C844" s="3" t="s">
        <v>39</v>
      </c>
      <c r="D844" s="4">
        <v>60000</v>
      </c>
      <c r="E844" s="3">
        <v>1</v>
      </c>
      <c r="F844" s="3" t="s">
        <v>19</v>
      </c>
      <c r="G844" s="3" t="s">
        <v>14</v>
      </c>
      <c r="H844" s="3" t="s">
        <v>15</v>
      </c>
      <c r="I844" s="3">
        <v>1</v>
      </c>
      <c r="J844" s="3" t="s">
        <v>22</v>
      </c>
      <c r="K844" s="3" t="s">
        <v>32</v>
      </c>
      <c r="L844" s="3">
        <v>45</v>
      </c>
      <c r="M844" s="3" t="s">
        <v>51</v>
      </c>
      <c r="N844" s="3" t="s">
        <v>48</v>
      </c>
      <c r="O844" s="3" t="s">
        <v>15</v>
      </c>
    </row>
    <row r="845" spans="1:15" x14ac:dyDescent="0.25">
      <c r="A845" s="3">
        <v>18423</v>
      </c>
      <c r="B845" s="3" t="s">
        <v>37</v>
      </c>
      <c r="C845" s="3" t="s">
        <v>38</v>
      </c>
      <c r="D845" s="4">
        <v>80000</v>
      </c>
      <c r="E845" s="3">
        <v>2</v>
      </c>
      <c r="F845" s="3" t="s">
        <v>29</v>
      </c>
      <c r="G845" s="3" t="s">
        <v>14</v>
      </c>
      <c r="H845" s="3" t="s">
        <v>18</v>
      </c>
      <c r="I845" s="3">
        <v>2</v>
      </c>
      <c r="J845" s="3" t="s">
        <v>26</v>
      </c>
      <c r="K845" s="3" t="s">
        <v>32</v>
      </c>
      <c r="L845" s="3">
        <v>52</v>
      </c>
      <c r="M845" s="3" t="s">
        <v>51</v>
      </c>
      <c r="N845" s="3" t="s">
        <v>48</v>
      </c>
      <c r="O845" s="3" t="s">
        <v>18</v>
      </c>
    </row>
    <row r="846" spans="1:15" x14ac:dyDescent="0.25">
      <c r="A846" s="3">
        <v>22743</v>
      </c>
      <c r="B846" s="3" t="s">
        <v>36</v>
      </c>
      <c r="C846" s="3" t="s">
        <v>39</v>
      </c>
      <c r="D846" s="4">
        <v>40000</v>
      </c>
      <c r="E846" s="3">
        <v>5</v>
      </c>
      <c r="F846" s="3" t="s">
        <v>27</v>
      </c>
      <c r="G846" s="3" t="s">
        <v>21</v>
      </c>
      <c r="H846" s="3" t="s">
        <v>15</v>
      </c>
      <c r="I846" s="3">
        <v>2</v>
      </c>
      <c r="J846" s="3" t="s">
        <v>46</v>
      </c>
      <c r="K846" s="3" t="s">
        <v>32</v>
      </c>
      <c r="L846" s="3">
        <v>60</v>
      </c>
      <c r="M846" s="3" t="s">
        <v>54</v>
      </c>
      <c r="N846" s="3" t="s">
        <v>50</v>
      </c>
      <c r="O846" s="3" t="s">
        <v>18</v>
      </c>
    </row>
    <row r="847" spans="1:15" x14ac:dyDescent="0.25">
      <c r="A847" s="3">
        <v>25343</v>
      </c>
      <c r="B847" s="3" t="s">
        <v>37</v>
      </c>
      <c r="C847" s="3" t="s">
        <v>39</v>
      </c>
      <c r="D847" s="4">
        <v>20000</v>
      </c>
      <c r="E847" s="3">
        <v>3</v>
      </c>
      <c r="F847" s="3" t="s">
        <v>29</v>
      </c>
      <c r="G847" s="3" t="s">
        <v>20</v>
      </c>
      <c r="H847" s="3" t="s">
        <v>15</v>
      </c>
      <c r="I847" s="3">
        <v>2</v>
      </c>
      <c r="J847" s="3" t="s">
        <v>26</v>
      </c>
      <c r="K847" s="3" t="s">
        <v>32</v>
      </c>
      <c r="L847" s="3">
        <v>50</v>
      </c>
      <c r="M847" s="3" t="s">
        <v>51</v>
      </c>
      <c r="N847" s="3" t="s">
        <v>48</v>
      </c>
      <c r="O847" s="3" t="s">
        <v>18</v>
      </c>
    </row>
    <row r="848" spans="1:15" x14ac:dyDescent="0.25">
      <c r="A848" s="3">
        <v>13390</v>
      </c>
      <c r="B848" s="3" t="s">
        <v>36</v>
      </c>
      <c r="C848" s="3" t="s">
        <v>39</v>
      </c>
      <c r="D848" s="4">
        <v>70000</v>
      </c>
      <c r="E848" s="3">
        <v>4</v>
      </c>
      <c r="F848" s="3" t="s">
        <v>19</v>
      </c>
      <c r="G848" s="3" t="s">
        <v>21</v>
      </c>
      <c r="H848" s="3" t="s">
        <v>18</v>
      </c>
      <c r="I848" s="3">
        <v>1</v>
      </c>
      <c r="J848" s="3" t="s">
        <v>26</v>
      </c>
      <c r="K848" s="3" t="s">
        <v>32</v>
      </c>
      <c r="L848" s="3">
        <v>56</v>
      </c>
      <c r="M848" s="3" t="s">
        <v>54</v>
      </c>
      <c r="N848" s="3" t="s">
        <v>50</v>
      </c>
      <c r="O848" s="3" t="s">
        <v>18</v>
      </c>
    </row>
    <row r="849" spans="1:15" x14ac:dyDescent="0.25">
      <c r="A849" s="3">
        <v>17482</v>
      </c>
      <c r="B849" s="3" t="s">
        <v>37</v>
      </c>
      <c r="C849" s="3" t="s">
        <v>39</v>
      </c>
      <c r="D849" s="4">
        <v>40000</v>
      </c>
      <c r="E849" s="3">
        <v>0</v>
      </c>
      <c r="F849" s="3" t="s">
        <v>29</v>
      </c>
      <c r="G849" s="3" t="s">
        <v>20</v>
      </c>
      <c r="H849" s="3" t="s">
        <v>15</v>
      </c>
      <c r="I849" s="3">
        <v>2</v>
      </c>
      <c r="J849" s="3" t="s">
        <v>23</v>
      </c>
      <c r="K849" s="3" t="s">
        <v>32</v>
      </c>
      <c r="L849" s="3">
        <v>29</v>
      </c>
      <c r="M849" s="3" t="s">
        <v>53</v>
      </c>
      <c r="N849" s="3" t="s">
        <v>49</v>
      </c>
      <c r="O849" s="3" t="s">
        <v>18</v>
      </c>
    </row>
    <row r="850" spans="1:15" x14ac:dyDescent="0.25">
      <c r="A850" s="3">
        <v>13176</v>
      </c>
      <c r="B850" s="3" t="s">
        <v>37</v>
      </c>
      <c r="C850" s="3" t="s">
        <v>38</v>
      </c>
      <c r="D850" s="4">
        <v>130000</v>
      </c>
      <c r="E850" s="3">
        <v>0</v>
      </c>
      <c r="F850" s="3" t="s">
        <v>31</v>
      </c>
      <c r="G850" s="3" t="s">
        <v>28</v>
      </c>
      <c r="H850" s="3" t="s">
        <v>18</v>
      </c>
      <c r="I850" s="3">
        <v>2</v>
      </c>
      <c r="J850" s="3" t="s">
        <v>16</v>
      </c>
      <c r="K850" s="3" t="s">
        <v>32</v>
      </c>
      <c r="L850" s="3">
        <v>38</v>
      </c>
      <c r="M850" s="3" t="s">
        <v>53</v>
      </c>
      <c r="N850" s="3" t="s">
        <v>49</v>
      </c>
      <c r="O850" s="3" t="s">
        <v>15</v>
      </c>
    </row>
    <row r="851" spans="1:15" x14ac:dyDescent="0.25">
      <c r="A851" s="3">
        <v>20504</v>
      </c>
      <c r="B851" s="3" t="s">
        <v>36</v>
      </c>
      <c r="C851" s="3" t="s">
        <v>39</v>
      </c>
      <c r="D851" s="4">
        <v>40000</v>
      </c>
      <c r="E851" s="3">
        <v>5</v>
      </c>
      <c r="F851" s="3" t="s">
        <v>27</v>
      </c>
      <c r="G851" s="3" t="s">
        <v>21</v>
      </c>
      <c r="H851" s="3" t="s">
        <v>18</v>
      </c>
      <c r="I851" s="3">
        <v>2</v>
      </c>
      <c r="J851" s="3" t="s">
        <v>22</v>
      </c>
      <c r="K851" s="3" t="s">
        <v>32</v>
      </c>
      <c r="L851" s="3">
        <v>60</v>
      </c>
      <c r="M851" s="3" t="s">
        <v>54</v>
      </c>
      <c r="N851" s="3" t="s">
        <v>50</v>
      </c>
      <c r="O851" s="3" t="s">
        <v>18</v>
      </c>
    </row>
    <row r="852" spans="1:15" x14ac:dyDescent="0.25">
      <c r="A852" s="3">
        <v>12205</v>
      </c>
      <c r="B852" s="3" t="s">
        <v>37</v>
      </c>
      <c r="C852" s="3" t="s">
        <v>39</v>
      </c>
      <c r="D852" s="4">
        <v>130000</v>
      </c>
      <c r="E852" s="3">
        <v>2</v>
      </c>
      <c r="F852" s="3" t="s">
        <v>13</v>
      </c>
      <c r="G852" s="3" t="s">
        <v>28</v>
      </c>
      <c r="H852" s="3" t="s">
        <v>18</v>
      </c>
      <c r="I852" s="3">
        <v>4</v>
      </c>
      <c r="J852" s="3" t="s">
        <v>16</v>
      </c>
      <c r="K852" s="3" t="s">
        <v>32</v>
      </c>
      <c r="L852" s="3">
        <v>67</v>
      </c>
      <c r="M852" s="3" t="s">
        <v>54</v>
      </c>
      <c r="N852" s="3" t="s">
        <v>50</v>
      </c>
      <c r="O852" s="3" t="s">
        <v>18</v>
      </c>
    </row>
    <row r="853" spans="1:15" x14ac:dyDescent="0.25">
      <c r="A853" s="3">
        <v>16751</v>
      </c>
      <c r="B853" s="3" t="s">
        <v>36</v>
      </c>
      <c r="C853" s="3" t="s">
        <v>38</v>
      </c>
      <c r="D853" s="4">
        <v>60000</v>
      </c>
      <c r="E853" s="3">
        <v>0</v>
      </c>
      <c r="F853" s="3" t="s">
        <v>19</v>
      </c>
      <c r="G853" s="3" t="s">
        <v>14</v>
      </c>
      <c r="H853" s="3" t="s">
        <v>15</v>
      </c>
      <c r="I853" s="3">
        <v>1</v>
      </c>
      <c r="J853" s="3" t="s">
        <v>23</v>
      </c>
      <c r="K853" s="3" t="s">
        <v>32</v>
      </c>
      <c r="L853" s="3">
        <v>32</v>
      </c>
      <c r="M853" s="3" t="s">
        <v>53</v>
      </c>
      <c r="N853" s="3" t="s">
        <v>49</v>
      </c>
      <c r="O853" s="3" t="s">
        <v>15</v>
      </c>
    </row>
    <row r="854" spans="1:15" x14ac:dyDescent="0.25">
      <c r="A854" s="3">
        <v>21613</v>
      </c>
      <c r="B854" s="3" t="s">
        <v>37</v>
      </c>
      <c r="C854" s="3" t="s">
        <v>38</v>
      </c>
      <c r="D854" s="4">
        <v>50000</v>
      </c>
      <c r="E854" s="3">
        <v>2</v>
      </c>
      <c r="F854" s="3" t="s">
        <v>13</v>
      </c>
      <c r="G854" s="3" t="s">
        <v>14</v>
      </c>
      <c r="H854" s="3" t="s">
        <v>18</v>
      </c>
      <c r="I854" s="3">
        <v>1</v>
      </c>
      <c r="J854" s="3" t="s">
        <v>16</v>
      </c>
      <c r="K854" s="3" t="s">
        <v>32</v>
      </c>
      <c r="L854" s="3">
        <v>39</v>
      </c>
      <c r="M854" s="3" t="s">
        <v>53</v>
      </c>
      <c r="N854" s="3" t="s">
        <v>49</v>
      </c>
      <c r="O854" s="3" t="s">
        <v>15</v>
      </c>
    </row>
    <row r="855" spans="1:15" x14ac:dyDescent="0.25">
      <c r="A855" s="3">
        <v>24801</v>
      </c>
      <c r="B855" s="3" t="s">
        <v>37</v>
      </c>
      <c r="C855" s="3" t="s">
        <v>38</v>
      </c>
      <c r="D855" s="4">
        <v>60000</v>
      </c>
      <c r="E855" s="3">
        <v>1</v>
      </c>
      <c r="F855" s="3" t="s">
        <v>31</v>
      </c>
      <c r="G855" s="3" t="s">
        <v>21</v>
      </c>
      <c r="H855" s="3" t="s">
        <v>15</v>
      </c>
      <c r="I855" s="3">
        <v>0</v>
      </c>
      <c r="J855" s="3" t="s">
        <v>22</v>
      </c>
      <c r="K855" s="3" t="s">
        <v>32</v>
      </c>
      <c r="L855" s="3">
        <v>35</v>
      </c>
      <c r="M855" s="3" t="s">
        <v>53</v>
      </c>
      <c r="N855" s="3" t="s">
        <v>49</v>
      </c>
      <c r="O855" s="3" t="s">
        <v>15</v>
      </c>
    </row>
    <row r="856" spans="1:15" x14ac:dyDescent="0.25">
      <c r="A856" s="3">
        <v>17519</v>
      </c>
      <c r="B856" s="3" t="s">
        <v>36</v>
      </c>
      <c r="C856" s="3" t="s">
        <v>39</v>
      </c>
      <c r="D856" s="4">
        <v>60000</v>
      </c>
      <c r="E856" s="3">
        <v>0</v>
      </c>
      <c r="F856" s="3" t="s">
        <v>19</v>
      </c>
      <c r="G856" s="3" t="s">
        <v>21</v>
      </c>
      <c r="H856" s="3" t="s">
        <v>15</v>
      </c>
      <c r="I856" s="3">
        <v>2</v>
      </c>
      <c r="J856" s="3" t="s">
        <v>23</v>
      </c>
      <c r="K856" s="3" t="s">
        <v>32</v>
      </c>
      <c r="L856" s="3">
        <v>32</v>
      </c>
      <c r="M856" s="3" t="s">
        <v>53</v>
      </c>
      <c r="N856" s="3" t="s">
        <v>49</v>
      </c>
      <c r="O856" s="3" t="s">
        <v>18</v>
      </c>
    </row>
    <row r="857" spans="1:15" x14ac:dyDescent="0.25">
      <c r="A857" s="3">
        <v>18347</v>
      </c>
      <c r="B857" s="3" t="s">
        <v>37</v>
      </c>
      <c r="C857" s="3" t="s">
        <v>39</v>
      </c>
      <c r="D857" s="4">
        <v>30000</v>
      </c>
      <c r="E857" s="3">
        <v>0</v>
      </c>
      <c r="F857" s="3" t="s">
        <v>19</v>
      </c>
      <c r="G857" s="3" t="s">
        <v>14</v>
      </c>
      <c r="H857" s="3" t="s">
        <v>18</v>
      </c>
      <c r="I857" s="3">
        <v>1</v>
      </c>
      <c r="J857" s="3" t="s">
        <v>26</v>
      </c>
      <c r="K857" s="3" t="s">
        <v>32</v>
      </c>
      <c r="L857" s="3">
        <v>31</v>
      </c>
      <c r="M857" s="3" t="s">
        <v>53</v>
      </c>
      <c r="N857" s="3" t="s">
        <v>49</v>
      </c>
      <c r="O857" s="3" t="s">
        <v>18</v>
      </c>
    </row>
    <row r="858" spans="1:15" x14ac:dyDescent="0.25">
      <c r="A858" s="3">
        <v>29052</v>
      </c>
      <c r="B858" s="3" t="s">
        <v>37</v>
      </c>
      <c r="C858" s="3" t="s">
        <v>38</v>
      </c>
      <c r="D858" s="4">
        <v>40000</v>
      </c>
      <c r="E858" s="3">
        <v>0</v>
      </c>
      <c r="F858" s="3" t="s">
        <v>19</v>
      </c>
      <c r="G858" s="3" t="s">
        <v>14</v>
      </c>
      <c r="H858" s="3" t="s">
        <v>15</v>
      </c>
      <c r="I858" s="3">
        <v>1</v>
      </c>
      <c r="J858" s="3" t="s">
        <v>23</v>
      </c>
      <c r="K858" s="3" t="s">
        <v>32</v>
      </c>
      <c r="L858" s="3">
        <v>27</v>
      </c>
      <c r="M858" s="3" t="s">
        <v>53</v>
      </c>
      <c r="N858" s="3" t="s">
        <v>49</v>
      </c>
      <c r="O858" s="3" t="s">
        <v>18</v>
      </c>
    </row>
    <row r="859" spans="1:15" x14ac:dyDescent="0.25">
      <c r="A859" s="3">
        <v>11745</v>
      </c>
      <c r="B859" s="3" t="s">
        <v>36</v>
      </c>
      <c r="C859" s="3" t="s">
        <v>39</v>
      </c>
      <c r="D859" s="4">
        <v>60000</v>
      </c>
      <c r="E859" s="3">
        <v>1</v>
      </c>
      <c r="F859" s="3" t="s">
        <v>13</v>
      </c>
      <c r="G859" s="3" t="s">
        <v>21</v>
      </c>
      <c r="H859" s="3" t="s">
        <v>15</v>
      </c>
      <c r="I859" s="3">
        <v>1</v>
      </c>
      <c r="J859" s="3" t="s">
        <v>16</v>
      </c>
      <c r="K859" s="3" t="s">
        <v>32</v>
      </c>
      <c r="L859" s="3">
        <v>47</v>
      </c>
      <c r="M859" s="3" t="s">
        <v>51</v>
      </c>
      <c r="N859" s="3" t="s">
        <v>48</v>
      </c>
      <c r="O859" s="3" t="s">
        <v>15</v>
      </c>
    </row>
    <row r="860" spans="1:15" x14ac:dyDescent="0.25">
      <c r="A860" s="3">
        <v>19147</v>
      </c>
      <c r="B860" s="3" t="s">
        <v>36</v>
      </c>
      <c r="C860" s="3" t="s">
        <v>38</v>
      </c>
      <c r="D860" s="4">
        <v>40000</v>
      </c>
      <c r="E860" s="3">
        <v>0</v>
      </c>
      <c r="F860" s="3" t="s">
        <v>13</v>
      </c>
      <c r="G860" s="3" t="s">
        <v>21</v>
      </c>
      <c r="H860" s="3" t="s">
        <v>18</v>
      </c>
      <c r="I860" s="3">
        <v>1</v>
      </c>
      <c r="J860" s="3" t="s">
        <v>16</v>
      </c>
      <c r="K860" s="3" t="s">
        <v>32</v>
      </c>
      <c r="L860" s="3">
        <v>42</v>
      </c>
      <c r="M860" s="3" t="s">
        <v>53</v>
      </c>
      <c r="N860" s="3" t="s">
        <v>49</v>
      </c>
      <c r="O860" s="3" t="s">
        <v>18</v>
      </c>
    </row>
    <row r="861" spans="1:15" x14ac:dyDescent="0.25">
      <c r="A861" s="3">
        <v>19217</v>
      </c>
      <c r="B861" s="3" t="s">
        <v>36</v>
      </c>
      <c r="C861" s="3" t="s">
        <v>38</v>
      </c>
      <c r="D861" s="4">
        <v>30000</v>
      </c>
      <c r="E861" s="3">
        <v>2</v>
      </c>
      <c r="F861" s="3" t="s">
        <v>27</v>
      </c>
      <c r="G861" s="3" t="s">
        <v>14</v>
      </c>
      <c r="H861" s="3" t="s">
        <v>15</v>
      </c>
      <c r="I861" s="3">
        <v>2</v>
      </c>
      <c r="J861" s="3" t="s">
        <v>26</v>
      </c>
      <c r="K861" s="3" t="s">
        <v>32</v>
      </c>
      <c r="L861" s="3">
        <v>49</v>
      </c>
      <c r="M861" s="3" t="s">
        <v>51</v>
      </c>
      <c r="N861" s="3" t="s">
        <v>48</v>
      </c>
      <c r="O861" s="3" t="s">
        <v>18</v>
      </c>
    </row>
    <row r="862" spans="1:15" x14ac:dyDescent="0.25">
      <c r="A862" s="3">
        <v>15839</v>
      </c>
      <c r="B862" s="3" t="s">
        <v>37</v>
      </c>
      <c r="C862" s="3" t="s">
        <v>38</v>
      </c>
      <c r="D862" s="4">
        <v>30000</v>
      </c>
      <c r="E862" s="3">
        <v>0</v>
      </c>
      <c r="F862" s="3" t="s">
        <v>19</v>
      </c>
      <c r="G862" s="3" t="s">
        <v>14</v>
      </c>
      <c r="H862" s="3" t="s">
        <v>15</v>
      </c>
      <c r="I862" s="3">
        <v>1</v>
      </c>
      <c r="J862" s="3" t="s">
        <v>23</v>
      </c>
      <c r="K862" s="3" t="s">
        <v>32</v>
      </c>
      <c r="L862" s="3">
        <v>32</v>
      </c>
      <c r="M862" s="3" t="s">
        <v>53</v>
      </c>
      <c r="N862" s="3" t="s">
        <v>49</v>
      </c>
      <c r="O862" s="3" t="s">
        <v>18</v>
      </c>
    </row>
    <row r="863" spans="1:15" x14ac:dyDescent="0.25">
      <c r="A863" s="3">
        <v>13714</v>
      </c>
      <c r="B863" s="3" t="s">
        <v>36</v>
      </c>
      <c r="C863" s="3" t="s">
        <v>39</v>
      </c>
      <c r="D863" s="4">
        <v>20000</v>
      </c>
      <c r="E863" s="3">
        <v>2</v>
      </c>
      <c r="F863" s="3" t="s">
        <v>27</v>
      </c>
      <c r="G863" s="3" t="s">
        <v>25</v>
      </c>
      <c r="H863" s="3" t="s">
        <v>18</v>
      </c>
      <c r="I863" s="3">
        <v>2</v>
      </c>
      <c r="J863" s="3" t="s">
        <v>26</v>
      </c>
      <c r="K863" s="3" t="s">
        <v>32</v>
      </c>
      <c r="L863" s="3">
        <v>53</v>
      </c>
      <c r="M863" s="3" t="s">
        <v>51</v>
      </c>
      <c r="N863" s="3" t="s">
        <v>48</v>
      </c>
      <c r="O863" s="3" t="s">
        <v>15</v>
      </c>
    </row>
    <row r="864" spans="1:15" x14ac:dyDescent="0.25">
      <c r="A864" s="3">
        <v>22330</v>
      </c>
      <c r="B864" s="3" t="s">
        <v>36</v>
      </c>
      <c r="C864" s="3" t="s">
        <v>38</v>
      </c>
      <c r="D864" s="4">
        <v>50000</v>
      </c>
      <c r="E864" s="3">
        <v>0</v>
      </c>
      <c r="F864" s="3" t="s">
        <v>31</v>
      </c>
      <c r="G864" s="3" t="s">
        <v>14</v>
      </c>
      <c r="H864" s="3" t="s">
        <v>15</v>
      </c>
      <c r="I864" s="3">
        <v>0</v>
      </c>
      <c r="J864" s="3" t="s">
        <v>26</v>
      </c>
      <c r="K864" s="3" t="s">
        <v>32</v>
      </c>
      <c r="L864" s="3">
        <v>32</v>
      </c>
      <c r="M864" s="3" t="s">
        <v>53</v>
      </c>
      <c r="N864" s="3" t="s">
        <v>49</v>
      </c>
      <c r="O864" s="3" t="s">
        <v>15</v>
      </c>
    </row>
    <row r="865" spans="1:15" x14ac:dyDescent="0.25">
      <c r="A865" s="3">
        <v>18783</v>
      </c>
      <c r="B865" s="3" t="s">
        <v>37</v>
      </c>
      <c r="C865" s="3" t="s">
        <v>38</v>
      </c>
      <c r="D865" s="4">
        <v>80000</v>
      </c>
      <c r="E865" s="3">
        <v>0</v>
      </c>
      <c r="F865" s="3" t="s">
        <v>13</v>
      </c>
      <c r="G865" s="3" t="s">
        <v>28</v>
      </c>
      <c r="H865" s="3" t="s">
        <v>18</v>
      </c>
      <c r="I865" s="3">
        <v>1</v>
      </c>
      <c r="J865" s="3" t="s">
        <v>16</v>
      </c>
      <c r="K865" s="3" t="s">
        <v>32</v>
      </c>
      <c r="L865" s="3">
        <v>38</v>
      </c>
      <c r="M865" s="3" t="s">
        <v>53</v>
      </c>
      <c r="N865" s="3" t="s">
        <v>49</v>
      </c>
      <c r="O865" s="3" t="s">
        <v>15</v>
      </c>
    </row>
    <row r="866" spans="1:15" x14ac:dyDescent="0.25">
      <c r="A866" s="3">
        <v>25041</v>
      </c>
      <c r="B866" s="3" t="s">
        <v>37</v>
      </c>
      <c r="C866" s="3" t="s">
        <v>38</v>
      </c>
      <c r="D866" s="4">
        <v>40000</v>
      </c>
      <c r="E866" s="3">
        <v>0</v>
      </c>
      <c r="F866" s="3" t="s">
        <v>27</v>
      </c>
      <c r="G866" s="3" t="s">
        <v>14</v>
      </c>
      <c r="H866" s="3" t="s">
        <v>15</v>
      </c>
      <c r="I866" s="3">
        <v>2</v>
      </c>
      <c r="J866" s="3" t="s">
        <v>23</v>
      </c>
      <c r="K866" s="3" t="s">
        <v>32</v>
      </c>
      <c r="L866" s="3">
        <v>31</v>
      </c>
      <c r="M866" s="3" t="s">
        <v>53</v>
      </c>
      <c r="N866" s="3" t="s">
        <v>49</v>
      </c>
      <c r="O866" s="3" t="s">
        <v>18</v>
      </c>
    </row>
    <row r="867" spans="1:15" x14ac:dyDescent="0.25">
      <c r="A867" s="3">
        <v>22046</v>
      </c>
      <c r="B867" s="3" t="s">
        <v>37</v>
      </c>
      <c r="C867" s="3" t="s">
        <v>39</v>
      </c>
      <c r="D867" s="4">
        <v>80000</v>
      </c>
      <c r="E867" s="3">
        <v>0</v>
      </c>
      <c r="F867" s="3" t="s">
        <v>13</v>
      </c>
      <c r="G867" s="3" t="s">
        <v>28</v>
      </c>
      <c r="H867" s="3" t="s">
        <v>18</v>
      </c>
      <c r="I867" s="3">
        <v>1</v>
      </c>
      <c r="J867" s="3" t="s">
        <v>16</v>
      </c>
      <c r="K867" s="3" t="s">
        <v>32</v>
      </c>
      <c r="L867" s="3">
        <v>38</v>
      </c>
      <c r="M867" s="3" t="s">
        <v>53</v>
      </c>
      <c r="N867" s="3" t="s">
        <v>49</v>
      </c>
      <c r="O867" s="3" t="s">
        <v>15</v>
      </c>
    </row>
    <row r="868" spans="1:15" x14ac:dyDescent="0.25">
      <c r="A868" s="3">
        <v>28052</v>
      </c>
      <c r="B868" s="3" t="s">
        <v>36</v>
      </c>
      <c r="C868" s="3" t="s">
        <v>38</v>
      </c>
      <c r="D868" s="4">
        <v>60000</v>
      </c>
      <c r="E868" s="3">
        <v>2</v>
      </c>
      <c r="F868" s="3" t="s">
        <v>27</v>
      </c>
      <c r="G868" s="3" t="s">
        <v>21</v>
      </c>
      <c r="H868" s="3" t="s">
        <v>15</v>
      </c>
      <c r="I868" s="3">
        <v>2</v>
      </c>
      <c r="J868" s="3" t="s">
        <v>46</v>
      </c>
      <c r="K868" s="3" t="s">
        <v>32</v>
      </c>
      <c r="L868" s="3">
        <v>55</v>
      </c>
      <c r="M868" s="3" t="s">
        <v>52</v>
      </c>
      <c r="N868" s="3" t="s">
        <v>47</v>
      </c>
      <c r="O868" s="3" t="s">
        <v>18</v>
      </c>
    </row>
    <row r="869" spans="1:15" x14ac:dyDescent="0.25">
      <c r="A869" s="3">
        <v>26693</v>
      </c>
      <c r="B869" s="3" t="s">
        <v>36</v>
      </c>
      <c r="C869" s="3" t="s">
        <v>38</v>
      </c>
      <c r="D869" s="4">
        <v>70000</v>
      </c>
      <c r="E869" s="3">
        <v>3</v>
      </c>
      <c r="F869" s="3" t="s">
        <v>19</v>
      </c>
      <c r="G869" s="3" t="s">
        <v>21</v>
      </c>
      <c r="H869" s="3" t="s">
        <v>15</v>
      </c>
      <c r="I869" s="3">
        <v>1</v>
      </c>
      <c r="J869" s="3" t="s">
        <v>23</v>
      </c>
      <c r="K869" s="3" t="s">
        <v>32</v>
      </c>
      <c r="L869" s="3">
        <v>49</v>
      </c>
      <c r="M869" s="3" t="s">
        <v>51</v>
      </c>
      <c r="N869" s="3" t="s">
        <v>48</v>
      </c>
      <c r="O869" s="3" t="s">
        <v>18</v>
      </c>
    </row>
    <row r="870" spans="1:15" x14ac:dyDescent="0.25">
      <c r="A870" s="3">
        <v>24955</v>
      </c>
      <c r="B870" s="3" t="s">
        <v>37</v>
      </c>
      <c r="C870" s="3" t="s">
        <v>38</v>
      </c>
      <c r="D870" s="4">
        <v>30000</v>
      </c>
      <c r="E870" s="3">
        <v>5</v>
      </c>
      <c r="F870" s="3" t="s">
        <v>29</v>
      </c>
      <c r="G870" s="3" t="s">
        <v>14</v>
      </c>
      <c r="H870" s="3" t="s">
        <v>15</v>
      </c>
      <c r="I870" s="3">
        <v>3</v>
      </c>
      <c r="J870" s="3" t="s">
        <v>46</v>
      </c>
      <c r="K870" s="3" t="s">
        <v>32</v>
      </c>
      <c r="L870" s="3">
        <v>60</v>
      </c>
      <c r="M870" s="3" t="s">
        <v>54</v>
      </c>
      <c r="N870" s="3" t="s">
        <v>50</v>
      </c>
      <c r="O870" s="3" t="s">
        <v>15</v>
      </c>
    </row>
    <row r="871" spans="1:15" x14ac:dyDescent="0.25">
      <c r="A871" s="3">
        <v>26065</v>
      </c>
      <c r="B871" s="3" t="s">
        <v>37</v>
      </c>
      <c r="C871" s="3" t="s">
        <v>39</v>
      </c>
      <c r="D871" s="4">
        <v>110000</v>
      </c>
      <c r="E871" s="3">
        <v>3</v>
      </c>
      <c r="F871" s="3" t="s">
        <v>13</v>
      </c>
      <c r="G871" s="3" t="s">
        <v>28</v>
      </c>
      <c r="H871" s="3" t="s">
        <v>18</v>
      </c>
      <c r="I871" s="3">
        <v>4</v>
      </c>
      <c r="J871" s="3" t="s">
        <v>26</v>
      </c>
      <c r="K871" s="3" t="s">
        <v>32</v>
      </c>
      <c r="L871" s="3">
        <v>42</v>
      </c>
      <c r="M871" s="3" t="s">
        <v>53</v>
      </c>
      <c r="N871" s="3" t="s">
        <v>49</v>
      </c>
      <c r="O871" s="3" t="s">
        <v>18</v>
      </c>
    </row>
    <row r="872" spans="1:15" x14ac:dyDescent="0.25">
      <c r="A872" s="3">
        <v>13942</v>
      </c>
      <c r="B872" s="3" t="s">
        <v>36</v>
      </c>
      <c r="C872" s="3" t="s">
        <v>38</v>
      </c>
      <c r="D872" s="4">
        <v>60000</v>
      </c>
      <c r="E872" s="3">
        <v>1</v>
      </c>
      <c r="F872" s="3" t="s">
        <v>19</v>
      </c>
      <c r="G872" s="3" t="s">
        <v>14</v>
      </c>
      <c r="H872" s="3" t="s">
        <v>15</v>
      </c>
      <c r="I872" s="3">
        <v>1</v>
      </c>
      <c r="J872" s="3" t="s">
        <v>16</v>
      </c>
      <c r="K872" s="3" t="s">
        <v>32</v>
      </c>
      <c r="L872" s="3">
        <v>46</v>
      </c>
      <c r="M872" s="3" t="s">
        <v>51</v>
      </c>
      <c r="N872" s="3" t="s">
        <v>48</v>
      </c>
      <c r="O872" s="3" t="s">
        <v>18</v>
      </c>
    </row>
    <row r="873" spans="1:15" x14ac:dyDescent="0.25">
      <c r="A873" s="3">
        <v>11219</v>
      </c>
      <c r="B873" s="3" t="s">
        <v>36</v>
      </c>
      <c r="C873" s="3" t="s">
        <v>38</v>
      </c>
      <c r="D873" s="4">
        <v>60000</v>
      </c>
      <c r="E873" s="3">
        <v>2</v>
      </c>
      <c r="F873" s="3" t="s">
        <v>27</v>
      </c>
      <c r="G873" s="3" t="s">
        <v>21</v>
      </c>
      <c r="H873" s="3" t="s">
        <v>15</v>
      </c>
      <c r="I873" s="3">
        <v>2</v>
      </c>
      <c r="J873" s="3" t="s">
        <v>46</v>
      </c>
      <c r="K873" s="3" t="s">
        <v>32</v>
      </c>
      <c r="L873" s="3">
        <v>55</v>
      </c>
      <c r="M873" s="3" t="s">
        <v>52</v>
      </c>
      <c r="N873" s="3" t="s">
        <v>47</v>
      </c>
      <c r="O873" s="3" t="s">
        <v>18</v>
      </c>
    </row>
    <row r="874" spans="1:15" x14ac:dyDescent="0.25">
      <c r="A874" s="3">
        <v>22118</v>
      </c>
      <c r="B874" s="3" t="s">
        <v>37</v>
      </c>
      <c r="C874" s="3" t="s">
        <v>39</v>
      </c>
      <c r="D874" s="4">
        <v>70000</v>
      </c>
      <c r="E874" s="3">
        <v>3</v>
      </c>
      <c r="F874" s="3" t="s">
        <v>31</v>
      </c>
      <c r="G874" s="3" t="s">
        <v>28</v>
      </c>
      <c r="H874" s="3" t="s">
        <v>15</v>
      </c>
      <c r="I874" s="3">
        <v>2</v>
      </c>
      <c r="J874" s="3" t="s">
        <v>23</v>
      </c>
      <c r="K874" s="3" t="s">
        <v>32</v>
      </c>
      <c r="L874" s="3">
        <v>53</v>
      </c>
      <c r="M874" s="3" t="s">
        <v>51</v>
      </c>
      <c r="N874" s="3" t="s">
        <v>48</v>
      </c>
      <c r="O874" s="3" t="s">
        <v>15</v>
      </c>
    </row>
    <row r="875" spans="1:15" x14ac:dyDescent="0.25">
      <c r="A875" s="3">
        <v>23197</v>
      </c>
      <c r="B875" s="3" t="s">
        <v>36</v>
      </c>
      <c r="C875" s="3" t="s">
        <v>38</v>
      </c>
      <c r="D875" s="4">
        <v>50000</v>
      </c>
      <c r="E875" s="3">
        <v>3</v>
      </c>
      <c r="F875" s="3" t="s">
        <v>13</v>
      </c>
      <c r="G875" s="3" t="s">
        <v>14</v>
      </c>
      <c r="H875" s="3" t="s">
        <v>15</v>
      </c>
      <c r="I875" s="3">
        <v>2</v>
      </c>
      <c r="J875" s="3" t="s">
        <v>22</v>
      </c>
      <c r="K875" s="3" t="s">
        <v>32</v>
      </c>
      <c r="L875" s="3">
        <v>40</v>
      </c>
      <c r="M875" s="3" t="s">
        <v>53</v>
      </c>
      <c r="N875" s="3" t="s">
        <v>49</v>
      </c>
      <c r="O875" s="3" t="s">
        <v>18</v>
      </c>
    </row>
    <row r="876" spans="1:15" x14ac:dyDescent="0.25">
      <c r="A876" s="3">
        <v>14883</v>
      </c>
      <c r="B876" s="3" t="s">
        <v>36</v>
      </c>
      <c r="C876" s="3" t="s">
        <v>39</v>
      </c>
      <c r="D876" s="4">
        <v>30000</v>
      </c>
      <c r="E876" s="3">
        <v>1</v>
      </c>
      <c r="F876" s="3" t="s">
        <v>13</v>
      </c>
      <c r="G876" s="3" t="s">
        <v>14</v>
      </c>
      <c r="H876" s="3" t="s">
        <v>15</v>
      </c>
      <c r="I876" s="3">
        <v>1</v>
      </c>
      <c r="J876" s="3" t="s">
        <v>23</v>
      </c>
      <c r="K876" s="3" t="s">
        <v>32</v>
      </c>
      <c r="L876" s="3">
        <v>53</v>
      </c>
      <c r="M876" s="3" t="s">
        <v>51</v>
      </c>
      <c r="N876" s="3" t="s">
        <v>48</v>
      </c>
      <c r="O876" s="3" t="s">
        <v>15</v>
      </c>
    </row>
    <row r="877" spans="1:15" x14ac:dyDescent="0.25">
      <c r="A877" s="3">
        <v>27279</v>
      </c>
      <c r="B877" s="3" t="s">
        <v>37</v>
      </c>
      <c r="C877" s="3" t="s">
        <v>39</v>
      </c>
      <c r="D877" s="4">
        <v>70000</v>
      </c>
      <c r="E877" s="3">
        <v>2</v>
      </c>
      <c r="F877" s="3" t="s">
        <v>13</v>
      </c>
      <c r="G877" s="3" t="s">
        <v>14</v>
      </c>
      <c r="H877" s="3" t="s">
        <v>15</v>
      </c>
      <c r="I877" s="3">
        <v>0</v>
      </c>
      <c r="J877" s="3" t="s">
        <v>22</v>
      </c>
      <c r="K877" s="3" t="s">
        <v>32</v>
      </c>
      <c r="L877" s="3">
        <v>38</v>
      </c>
      <c r="M877" s="3" t="s">
        <v>53</v>
      </c>
      <c r="N877" s="3" t="s">
        <v>49</v>
      </c>
      <c r="O877" s="3" t="s">
        <v>15</v>
      </c>
    </row>
    <row r="878" spans="1:15" x14ac:dyDescent="0.25">
      <c r="A878" s="3">
        <v>18322</v>
      </c>
      <c r="B878" s="3" t="s">
        <v>37</v>
      </c>
      <c r="C878" s="3" t="s">
        <v>38</v>
      </c>
      <c r="D878" s="4">
        <v>30000</v>
      </c>
      <c r="E878" s="3">
        <v>0</v>
      </c>
      <c r="F878" s="3" t="s">
        <v>29</v>
      </c>
      <c r="G878" s="3" t="s">
        <v>20</v>
      </c>
      <c r="H878" s="3" t="s">
        <v>18</v>
      </c>
      <c r="I878" s="3">
        <v>2</v>
      </c>
      <c r="J878" s="3" t="s">
        <v>16</v>
      </c>
      <c r="K878" s="3" t="s">
        <v>32</v>
      </c>
      <c r="L878" s="3">
        <v>26</v>
      </c>
      <c r="M878" s="3" t="s">
        <v>53</v>
      </c>
      <c r="N878" s="3" t="s">
        <v>49</v>
      </c>
      <c r="O878" s="3" t="s">
        <v>18</v>
      </c>
    </row>
    <row r="879" spans="1:15" x14ac:dyDescent="0.25">
      <c r="A879" s="3">
        <v>15879</v>
      </c>
      <c r="B879" s="3" t="s">
        <v>36</v>
      </c>
      <c r="C879" s="3" t="s">
        <v>38</v>
      </c>
      <c r="D879" s="4">
        <v>70000</v>
      </c>
      <c r="E879" s="3">
        <v>5</v>
      </c>
      <c r="F879" s="3" t="s">
        <v>13</v>
      </c>
      <c r="G879" s="3" t="s">
        <v>28</v>
      </c>
      <c r="H879" s="3" t="s">
        <v>15</v>
      </c>
      <c r="I879" s="3">
        <v>2</v>
      </c>
      <c r="J879" s="3" t="s">
        <v>22</v>
      </c>
      <c r="K879" s="3" t="s">
        <v>32</v>
      </c>
      <c r="L879" s="3">
        <v>61</v>
      </c>
      <c r="M879" s="3" t="s">
        <v>54</v>
      </c>
      <c r="N879" s="3" t="s">
        <v>50</v>
      </c>
      <c r="O879" s="3" t="s">
        <v>18</v>
      </c>
    </row>
    <row r="880" spans="1:15" x14ac:dyDescent="0.25">
      <c r="A880" s="3">
        <v>28278</v>
      </c>
      <c r="B880" s="3" t="s">
        <v>36</v>
      </c>
      <c r="C880" s="3" t="s">
        <v>38</v>
      </c>
      <c r="D880" s="4">
        <v>50000</v>
      </c>
      <c r="E880" s="3">
        <v>2</v>
      </c>
      <c r="F880" s="3" t="s">
        <v>31</v>
      </c>
      <c r="G880" s="3" t="s">
        <v>28</v>
      </c>
      <c r="H880" s="3" t="s">
        <v>15</v>
      </c>
      <c r="I880" s="3">
        <v>2</v>
      </c>
      <c r="J880" s="3" t="s">
        <v>23</v>
      </c>
      <c r="K880" s="3" t="s">
        <v>32</v>
      </c>
      <c r="L880" s="3">
        <v>71</v>
      </c>
      <c r="M880" s="3" t="s">
        <v>54</v>
      </c>
      <c r="N880" s="3" t="s">
        <v>50</v>
      </c>
      <c r="O880" s="3" t="s">
        <v>18</v>
      </c>
    </row>
    <row r="881" spans="1:15" x14ac:dyDescent="0.25">
      <c r="A881" s="3">
        <v>24416</v>
      </c>
      <c r="B881" s="3" t="s">
        <v>36</v>
      </c>
      <c r="C881" s="3" t="s">
        <v>38</v>
      </c>
      <c r="D881" s="4">
        <v>90000</v>
      </c>
      <c r="E881" s="3">
        <v>4</v>
      </c>
      <c r="F881" s="3" t="s">
        <v>27</v>
      </c>
      <c r="G881" s="3" t="s">
        <v>21</v>
      </c>
      <c r="H881" s="3" t="s">
        <v>15</v>
      </c>
      <c r="I881" s="3">
        <v>2</v>
      </c>
      <c r="J881" s="3" t="s">
        <v>26</v>
      </c>
      <c r="K881" s="3" t="s">
        <v>32</v>
      </c>
      <c r="L881" s="3">
        <v>45</v>
      </c>
      <c r="M881" s="3" t="s">
        <v>51</v>
      </c>
      <c r="N881" s="3" t="s">
        <v>48</v>
      </c>
      <c r="O881" s="3" t="s">
        <v>18</v>
      </c>
    </row>
    <row r="882" spans="1:15" x14ac:dyDescent="0.25">
      <c r="A882" s="3">
        <v>28066</v>
      </c>
      <c r="B882" s="3" t="s">
        <v>36</v>
      </c>
      <c r="C882" s="3" t="s">
        <v>38</v>
      </c>
      <c r="D882" s="4">
        <v>80000</v>
      </c>
      <c r="E882" s="3">
        <v>2</v>
      </c>
      <c r="F882" s="3" t="s">
        <v>31</v>
      </c>
      <c r="G882" s="3" t="s">
        <v>21</v>
      </c>
      <c r="H882" s="3" t="s">
        <v>15</v>
      </c>
      <c r="I882" s="3">
        <v>0</v>
      </c>
      <c r="J882" s="3" t="s">
        <v>16</v>
      </c>
      <c r="K882" s="3" t="s">
        <v>32</v>
      </c>
      <c r="L882" s="3">
        <v>37</v>
      </c>
      <c r="M882" s="3" t="s">
        <v>53</v>
      </c>
      <c r="N882" s="3" t="s">
        <v>49</v>
      </c>
      <c r="O882" s="3" t="s">
        <v>15</v>
      </c>
    </row>
    <row r="883" spans="1:15" x14ac:dyDescent="0.25">
      <c r="A883" s="3">
        <v>11275</v>
      </c>
      <c r="B883" s="3" t="s">
        <v>36</v>
      </c>
      <c r="C883" s="3" t="s">
        <v>39</v>
      </c>
      <c r="D883" s="4">
        <v>80000</v>
      </c>
      <c r="E883" s="3">
        <v>4</v>
      </c>
      <c r="F883" s="3" t="s">
        <v>31</v>
      </c>
      <c r="G883" s="3" t="s">
        <v>28</v>
      </c>
      <c r="H883" s="3" t="s">
        <v>15</v>
      </c>
      <c r="I883" s="3">
        <v>2</v>
      </c>
      <c r="J883" s="3" t="s">
        <v>16</v>
      </c>
      <c r="K883" s="3" t="s">
        <v>32</v>
      </c>
      <c r="L883" s="3">
        <v>72</v>
      </c>
      <c r="M883" s="3" t="s">
        <v>54</v>
      </c>
      <c r="N883" s="3" t="s">
        <v>50</v>
      </c>
      <c r="O883" s="3" t="s">
        <v>15</v>
      </c>
    </row>
    <row r="884" spans="1:15" x14ac:dyDescent="0.25">
      <c r="A884" s="3">
        <v>14872</v>
      </c>
      <c r="B884" s="3" t="s">
        <v>36</v>
      </c>
      <c r="C884" s="3" t="s">
        <v>38</v>
      </c>
      <c r="D884" s="4">
        <v>30000</v>
      </c>
      <c r="E884" s="3">
        <v>0</v>
      </c>
      <c r="F884" s="3" t="s">
        <v>31</v>
      </c>
      <c r="G884" s="3" t="s">
        <v>14</v>
      </c>
      <c r="H884" s="3" t="s">
        <v>15</v>
      </c>
      <c r="I884" s="3">
        <v>0</v>
      </c>
      <c r="J884" s="3" t="s">
        <v>16</v>
      </c>
      <c r="K884" s="3" t="s">
        <v>32</v>
      </c>
      <c r="L884" s="3">
        <v>32</v>
      </c>
      <c r="M884" s="3" t="s">
        <v>53</v>
      </c>
      <c r="N884" s="3" t="s">
        <v>49</v>
      </c>
      <c r="O884" s="3" t="s">
        <v>18</v>
      </c>
    </row>
    <row r="885" spans="1:15" x14ac:dyDescent="0.25">
      <c r="A885" s="3">
        <v>16151</v>
      </c>
      <c r="B885" s="3" t="s">
        <v>36</v>
      </c>
      <c r="C885" s="3" t="s">
        <v>39</v>
      </c>
      <c r="D885" s="4">
        <v>60000</v>
      </c>
      <c r="E885" s="3">
        <v>1</v>
      </c>
      <c r="F885" s="3" t="s">
        <v>13</v>
      </c>
      <c r="G885" s="3" t="s">
        <v>21</v>
      </c>
      <c r="H885" s="3" t="s">
        <v>15</v>
      </c>
      <c r="I885" s="3">
        <v>1</v>
      </c>
      <c r="J885" s="3" t="s">
        <v>22</v>
      </c>
      <c r="K885" s="3" t="s">
        <v>32</v>
      </c>
      <c r="L885" s="3">
        <v>48</v>
      </c>
      <c r="M885" s="3" t="s">
        <v>51</v>
      </c>
      <c r="N885" s="3" t="s">
        <v>48</v>
      </c>
      <c r="O885" s="3" t="s">
        <v>15</v>
      </c>
    </row>
    <row r="886" spans="1:15" x14ac:dyDescent="0.25">
      <c r="A886" s="3">
        <v>19731</v>
      </c>
      <c r="B886" s="3" t="s">
        <v>36</v>
      </c>
      <c r="C886" s="3" t="s">
        <v>38</v>
      </c>
      <c r="D886" s="4">
        <v>80000</v>
      </c>
      <c r="E886" s="3">
        <v>4</v>
      </c>
      <c r="F886" s="3" t="s">
        <v>31</v>
      </c>
      <c r="G886" s="3" t="s">
        <v>28</v>
      </c>
      <c r="H886" s="3" t="s">
        <v>15</v>
      </c>
      <c r="I886" s="3">
        <v>2</v>
      </c>
      <c r="J886" s="3" t="s">
        <v>23</v>
      </c>
      <c r="K886" s="3" t="s">
        <v>32</v>
      </c>
      <c r="L886" s="3">
        <v>68</v>
      </c>
      <c r="M886" s="3" t="s">
        <v>54</v>
      </c>
      <c r="N886" s="3" t="s">
        <v>50</v>
      </c>
      <c r="O886" s="3" t="s">
        <v>18</v>
      </c>
    </row>
    <row r="887" spans="1:15" x14ac:dyDescent="0.25">
      <c r="A887" s="3">
        <v>23801</v>
      </c>
      <c r="B887" s="3" t="s">
        <v>36</v>
      </c>
      <c r="C887" s="3" t="s">
        <v>39</v>
      </c>
      <c r="D887" s="4">
        <v>20000</v>
      </c>
      <c r="E887" s="3">
        <v>2</v>
      </c>
      <c r="F887" s="3" t="s">
        <v>29</v>
      </c>
      <c r="G887" s="3" t="s">
        <v>20</v>
      </c>
      <c r="H887" s="3" t="s">
        <v>15</v>
      </c>
      <c r="I887" s="3">
        <v>2</v>
      </c>
      <c r="J887" s="3" t="s">
        <v>16</v>
      </c>
      <c r="K887" s="3" t="s">
        <v>32</v>
      </c>
      <c r="L887" s="3">
        <v>49</v>
      </c>
      <c r="M887" s="3" t="s">
        <v>51</v>
      </c>
      <c r="N887" s="3" t="s">
        <v>48</v>
      </c>
      <c r="O887" s="3" t="s">
        <v>18</v>
      </c>
    </row>
    <row r="888" spans="1:15" x14ac:dyDescent="0.25">
      <c r="A888" s="3">
        <v>11807</v>
      </c>
      <c r="B888" s="3" t="s">
        <v>36</v>
      </c>
      <c r="C888" s="3" t="s">
        <v>38</v>
      </c>
      <c r="D888" s="4">
        <v>70000</v>
      </c>
      <c r="E888" s="3">
        <v>3</v>
      </c>
      <c r="F888" s="3" t="s">
        <v>31</v>
      </c>
      <c r="G888" s="3" t="s">
        <v>21</v>
      </c>
      <c r="H888" s="3" t="s">
        <v>15</v>
      </c>
      <c r="I888" s="3">
        <v>0</v>
      </c>
      <c r="J888" s="3" t="s">
        <v>22</v>
      </c>
      <c r="K888" s="3" t="s">
        <v>32</v>
      </c>
      <c r="L888" s="3">
        <v>34</v>
      </c>
      <c r="M888" s="3" t="s">
        <v>53</v>
      </c>
      <c r="N888" s="3" t="s">
        <v>49</v>
      </c>
      <c r="O888" s="3" t="s">
        <v>18</v>
      </c>
    </row>
    <row r="889" spans="1:15" x14ac:dyDescent="0.25">
      <c r="A889" s="3">
        <v>11622</v>
      </c>
      <c r="B889" s="3" t="s">
        <v>36</v>
      </c>
      <c r="C889" s="3" t="s">
        <v>38</v>
      </c>
      <c r="D889" s="4">
        <v>50000</v>
      </c>
      <c r="E889" s="3">
        <v>0</v>
      </c>
      <c r="F889" s="3" t="s">
        <v>31</v>
      </c>
      <c r="G889" s="3" t="s">
        <v>14</v>
      </c>
      <c r="H889" s="3" t="s">
        <v>15</v>
      </c>
      <c r="I889" s="3">
        <v>0</v>
      </c>
      <c r="J889" s="3" t="s">
        <v>16</v>
      </c>
      <c r="K889" s="3" t="s">
        <v>32</v>
      </c>
      <c r="L889" s="3">
        <v>32</v>
      </c>
      <c r="M889" s="3" t="s">
        <v>53</v>
      </c>
      <c r="N889" s="3" t="s">
        <v>49</v>
      </c>
      <c r="O889" s="3" t="s">
        <v>18</v>
      </c>
    </row>
    <row r="890" spans="1:15" x14ac:dyDescent="0.25">
      <c r="A890" s="3">
        <v>26597</v>
      </c>
      <c r="B890" s="3" t="s">
        <v>37</v>
      </c>
      <c r="C890" s="3" t="s">
        <v>39</v>
      </c>
      <c r="D890" s="4">
        <v>60000</v>
      </c>
      <c r="E890" s="3">
        <v>4</v>
      </c>
      <c r="F890" s="3" t="s">
        <v>13</v>
      </c>
      <c r="G890" s="3" t="s">
        <v>14</v>
      </c>
      <c r="H890" s="3" t="s">
        <v>18</v>
      </c>
      <c r="I890" s="3">
        <v>2</v>
      </c>
      <c r="J890" s="3" t="s">
        <v>16</v>
      </c>
      <c r="K890" s="3" t="s">
        <v>32</v>
      </c>
      <c r="L890" s="3">
        <v>42</v>
      </c>
      <c r="M890" s="3" t="s">
        <v>53</v>
      </c>
      <c r="N890" s="3" t="s">
        <v>49</v>
      </c>
      <c r="O890" s="3" t="s">
        <v>18</v>
      </c>
    </row>
    <row r="891" spans="1:15" x14ac:dyDescent="0.25">
      <c r="A891" s="3">
        <v>27074</v>
      </c>
      <c r="B891" s="3" t="s">
        <v>36</v>
      </c>
      <c r="C891" s="3" t="s">
        <v>39</v>
      </c>
      <c r="D891" s="4">
        <v>70000</v>
      </c>
      <c r="E891" s="3">
        <v>1</v>
      </c>
      <c r="F891" s="3" t="s">
        <v>31</v>
      </c>
      <c r="G891" s="3" t="s">
        <v>14</v>
      </c>
      <c r="H891" s="3" t="s">
        <v>15</v>
      </c>
      <c r="I891" s="3">
        <v>0</v>
      </c>
      <c r="J891" s="3" t="s">
        <v>16</v>
      </c>
      <c r="K891" s="3" t="s">
        <v>32</v>
      </c>
      <c r="L891" s="3">
        <v>35</v>
      </c>
      <c r="M891" s="3" t="s">
        <v>53</v>
      </c>
      <c r="N891" s="3" t="s">
        <v>49</v>
      </c>
      <c r="O891" s="3" t="s">
        <v>15</v>
      </c>
    </row>
    <row r="892" spans="1:15" x14ac:dyDescent="0.25">
      <c r="A892" s="3">
        <v>19228</v>
      </c>
      <c r="B892" s="3" t="s">
        <v>36</v>
      </c>
      <c r="C892" s="3" t="s">
        <v>39</v>
      </c>
      <c r="D892" s="4">
        <v>40000</v>
      </c>
      <c r="E892" s="3">
        <v>2</v>
      </c>
      <c r="F892" s="3" t="s">
        <v>19</v>
      </c>
      <c r="G892" s="3" t="s">
        <v>20</v>
      </c>
      <c r="H892" s="3" t="s">
        <v>15</v>
      </c>
      <c r="I892" s="3">
        <v>1</v>
      </c>
      <c r="J892" s="3" t="s">
        <v>16</v>
      </c>
      <c r="K892" s="3" t="s">
        <v>32</v>
      </c>
      <c r="L892" s="3">
        <v>48</v>
      </c>
      <c r="M892" s="3" t="s">
        <v>51</v>
      </c>
      <c r="N892" s="3" t="s">
        <v>48</v>
      </c>
      <c r="O892" s="3" t="s">
        <v>18</v>
      </c>
    </row>
    <row r="893" spans="1:15" x14ac:dyDescent="0.25">
      <c r="A893" s="3">
        <v>13415</v>
      </c>
      <c r="B893" s="3" t="s">
        <v>37</v>
      </c>
      <c r="C893" s="3" t="s">
        <v>38</v>
      </c>
      <c r="D893" s="4">
        <v>100000</v>
      </c>
      <c r="E893" s="3">
        <v>1</v>
      </c>
      <c r="F893" s="3" t="s">
        <v>31</v>
      </c>
      <c r="G893" s="3" t="s">
        <v>28</v>
      </c>
      <c r="H893" s="3" t="s">
        <v>15</v>
      </c>
      <c r="I893" s="3">
        <v>3</v>
      </c>
      <c r="J893" s="3" t="s">
        <v>22</v>
      </c>
      <c r="K893" s="3" t="s">
        <v>32</v>
      </c>
      <c r="L893" s="3">
        <v>73</v>
      </c>
      <c r="M893" s="3" t="s">
        <v>54</v>
      </c>
      <c r="N893" s="3" t="s">
        <v>50</v>
      </c>
      <c r="O893" s="3" t="s">
        <v>15</v>
      </c>
    </row>
    <row r="894" spans="1:15" x14ac:dyDescent="0.25">
      <c r="A894" s="3">
        <v>17000</v>
      </c>
      <c r="B894" s="3" t="s">
        <v>37</v>
      </c>
      <c r="C894" s="3" t="s">
        <v>39</v>
      </c>
      <c r="D894" s="4">
        <v>70000</v>
      </c>
      <c r="E894" s="3">
        <v>4</v>
      </c>
      <c r="F894" s="3" t="s">
        <v>13</v>
      </c>
      <c r="G894" s="3" t="s">
        <v>14</v>
      </c>
      <c r="H894" s="3" t="s">
        <v>15</v>
      </c>
      <c r="I894" s="3">
        <v>2</v>
      </c>
      <c r="J894" s="3" t="s">
        <v>22</v>
      </c>
      <c r="K894" s="3" t="s">
        <v>32</v>
      </c>
      <c r="L894" s="3">
        <v>43</v>
      </c>
      <c r="M894" s="3" t="s">
        <v>53</v>
      </c>
      <c r="N894" s="3" t="s">
        <v>49</v>
      </c>
      <c r="O894" s="3" t="s">
        <v>15</v>
      </c>
    </row>
    <row r="895" spans="1:15" x14ac:dyDescent="0.25">
      <c r="A895" s="3">
        <v>14569</v>
      </c>
      <c r="B895" s="3" t="s">
        <v>36</v>
      </c>
      <c r="C895" s="3" t="s">
        <v>38</v>
      </c>
      <c r="D895" s="4">
        <v>60000</v>
      </c>
      <c r="E895" s="3">
        <v>1</v>
      </c>
      <c r="F895" s="3" t="s">
        <v>31</v>
      </c>
      <c r="G895" s="3" t="s">
        <v>21</v>
      </c>
      <c r="H895" s="3" t="s">
        <v>15</v>
      </c>
      <c r="I895" s="3">
        <v>0</v>
      </c>
      <c r="J895" s="3" t="s">
        <v>16</v>
      </c>
      <c r="K895" s="3" t="s">
        <v>32</v>
      </c>
      <c r="L895" s="3">
        <v>35</v>
      </c>
      <c r="M895" s="3" t="s">
        <v>53</v>
      </c>
      <c r="N895" s="3" t="s">
        <v>49</v>
      </c>
      <c r="O895" s="3" t="s">
        <v>18</v>
      </c>
    </row>
    <row r="896" spans="1:15" x14ac:dyDescent="0.25">
      <c r="A896" s="3">
        <v>13873</v>
      </c>
      <c r="B896" s="3" t="s">
        <v>36</v>
      </c>
      <c r="C896" s="3" t="s">
        <v>38</v>
      </c>
      <c r="D896" s="4">
        <v>70000</v>
      </c>
      <c r="E896" s="3">
        <v>3</v>
      </c>
      <c r="F896" s="3" t="s">
        <v>31</v>
      </c>
      <c r="G896" s="3" t="s">
        <v>21</v>
      </c>
      <c r="H896" s="3" t="s">
        <v>15</v>
      </c>
      <c r="I896" s="3">
        <v>0</v>
      </c>
      <c r="J896" s="3" t="s">
        <v>16</v>
      </c>
      <c r="K896" s="3" t="s">
        <v>32</v>
      </c>
      <c r="L896" s="3">
        <v>35</v>
      </c>
      <c r="M896" s="3" t="s">
        <v>53</v>
      </c>
      <c r="N896" s="3" t="s">
        <v>49</v>
      </c>
      <c r="O896" s="3" t="s">
        <v>15</v>
      </c>
    </row>
    <row r="897" spans="1:15" x14ac:dyDescent="0.25">
      <c r="A897" s="3">
        <v>20401</v>
      </c>
      <c r="B897" s="3" t="s">
        <v>36</v>
      </c>
      <c r="C897" s="3" t="s">
        <v>39</v>
      </c>
      <c r="D897" s="4">
        <v>50000</v>
      </c>
      <c r="E897" s="3">
        <v>4</v>
      </c>
      <c r="F897" s="3" t="s">
        <v>13</v>
      </c>
      <c r="G897" s="3" t="s">
        <v>28</v>
      </c>
      <c r="H897" s="3" t="s">
        <v>15</v>
      </c>
      <c r="I897" s="3">
        <v>2</v>
      </c>
      <c r="J897" s="3" t="s">
        <v>26</v>
      </c>
      <c r="K897" s="3" t="s">
        <v>32</v>
      </c>
      <c r="L897" s="3">
        <v>64</v>
      </c>
      <c r="M897" s="3" t="s">
        <v>54</v>
      </c>
      <c r="N897" s="3" t="s">
        <v>50</v>
      </c>
      <c r="O897" s="3" t="s">
        <v>15</v>
      </c>
    </row>
    <row r="898" spans="1:15" x14ac:dyDescent="0.25">
      <c r="A898" s="3">
        <v>21583</v>
      </c>
      <c r="B898" s="3" t="s">
        <v>36</v>
      </c>
      <c r="C898" s="3" t="s">
        <v>39</v>
      </c>
      <c r="D898" s="4">
        <v>50000</v>
      </c>
      <c r="E898" s="3">
        <v>1</v>
      </c>
      <c r="F898" s="3" t="s">
        <v>13</v>
      </c>
      <c r="G898" s="3" t="s">
        <v>14</v>
      </c>
      <c r="H898" s="3" t="s">
        <v>15</v>
      </c>
      <c r="I898" s="3">
        <v>0</v>
      </c>
      <c r="J898" s="3" t="s">
        <v>16</v>
      </c>
      <c r="K898" s="3" t="s">
        <v>32</v>
      </c>
      <c r="L898" s="3">
        <v>34</v>
      </c>
      <c r="M898" s="3" t="s">
        <v>53</v>
      </c>
      <c r="N898" s="3" t="s">
        <v>49</v>
      </c>
      <c r="O898" s="3" t="s">
        <v>15</v>
      </c>
    </row>
    <row r="899" spans="1:15" x14ac:dyDescent="0.25">
      <c r="A899" s="3">
        <v>12029</v>
      </c>
      <c r="B899" s="3" t="s">
        <v>36</v>
      </c>
      <c r="C899" s="3" t="s">
        <v>38</v>
      </c>
      <c r="D899" s="4">
        <v>30000</v>
      </c>
      <c r="E899" s="3">
        <v>0</v>
      </c>
      <c r="F899" s="3" t="s">
        <v>29</v>
      </c>
      <c r="G899" s="3" t="s">
        <v>20</v>
      </c>
      <c r="H899" s="3" t="s">
        <v>18</v>
      </c>
      <c r="I899" s="3">
        <v>2</v>
      </c>
      <c r="J899" s="3" t="s">
        <v>16</v>
      </c>
      <c r="K899" s="3" t="s">
        <v>32</v>
      </c>
      <c r="L899" s="3">
        <v>28</v>
      </c>
      <c r="M899" s="3" t="s">
        <v>53</v>
      </c>
      <c r="N899" s="3" t="s">
        <v>49</v>
      </c>
      <c r="O899" s="3" t="s">
        <v>18</v>
      </c>
    </row>
    <row r="900" spans="1:15" x14ac:dyDescent="0.25">
      <c r="A900" s="3">
        <v>18066</v>
      </c>
      <c r="B900" s="3" t="s">
        <v>37</v>
      </c>
      <c r="C900" s="3" t="s">
        <v>38</v>
      </c>
      <c r="D900" s="4">
        <v>70000</v>
      </c>
      <c r="E900" s="3">
        <v>5</v>
      </c>
      <c r="F900" s="3" t="s">
        <v>13</v>
      </c>
      <c r="G900" s="3" t="s">
        <v>28</v>
      </c>
      <c r="H900" s="3" t="s">
        <v>15</v>
      </c>
      <c r="I900" s="3">
        <v>3</v>
      </c>
      <c r="J900" s="3" t="s">
        <v>46</v>
      </c>
      <c r="K900" s="3" t="s">
        <v>32</v>
      </c>
      <c r="L900" s="3">
        <v>60</v>
      </c>
      <c r="M900" s="3" t="s">
        <v>54</v>
      </c>
      <c r="N900" s="3" t="s">
        <v>50</v>
      </c>
      <c r="O900" s="3" t="s">
        <v>15</v>
      </c>
    </row>
    <row r="901" spans="1:15" x14ac:dyDescent="0.25">
      <c r="A901" s="3">
        <v>28192</v>
      </c>
      <c r="B901" s="3" t="s">
        <v>36</v>
      </c>
      <c r="C901" s="3" t="s">
        <v>39</v>
      </c>
      <c r="D901" s="4">
        <v>70000</v>
      </c>
      <c r="E901" s="3">
        <v>5</v>
      </c>
      <c r="F901" s="3" t="s">
        <v>31</v>
      </c>
      <c r="G901" s="3" t="s">
        <v>21</v>
      </c>
      <c r="H901" s="3" t="s">
        <v>15</v>
      </c>
      <c r="I901" s="3">
        <v>3</v>
      </c>
      <c r="J901" s="3" t="s">
        <v>46</v>
      </c>
      <c r="K901" s="3" t="s">
        <v>32</v>
      </c>
      <c r="L901" s="3">
        <v>46</v>
      </c>
      <c r="M901" s="3" t="s">
        <v>51</v>
      </c>
      <c r="N901" s="3" t="s">
        <v>48</v>
      </c>
      <c r="O901" s="3" t="s">
        <v>18</v>
      </c>
    </row>
    <row r="902" spans="1:15" x14ac:dyDescent="0.25">
      <c r="A902" s="3">
        <v>16122</v>
      </c>
      <c r="B902" s="3" t="s">
        <v>36</v>
      </c>
      <c r="C902" s="3" t="s">
        <v>38</v>
      </c>
      <c r="D902" s="4">
        <v>40000</v>
      </c>
      <c r="E902" s="3">
        <v>4</v>
      </c>
      <c r="F902" s="3" t="s">
        <v>27</v>
      </c>
      <c r="G902" s="3" t="s">
        <v>14</v>
      </c>
      <c r="H902" s="3" t="s">
        <v>15</v>
      </c>
      <c r="I902" s="3">
        <v>2</v>
      </c>
      <c r="J902" s="3" t="s">
        <v>16</v>
      </c>
      <c r="K902" s="3" t="s">
        <v>32</v>
      </c>
      <c r="L902" s="3">
        <v>44</v>
      </c>
      <c r="M902" s="3" t="s">
        <v>53</v>
      </c>
      <c r="N902" s="3" t="s">
        <v>49</v>
      </c>
      <c r="O902" s="3" t="s">
        <v>15</v>
      </c>
    </row>
    <row r="903" spans="1:15" x14ac:dyDescent="0.25">
      <c r="A903" s="3">
        <v>18607</v>
      </c>
      <c r="B903" s="3" t="s">
        <v>37</v>
      </c>
      <c r="C903" s="3" t="s">
        <v>39</v>
      </c>
      <c r="D903" s="4">
        <v>60000</v>
      </c>
      <c r="E903" s="3">
        <v>4</v>
      </c>
      <c r="F903" s="3" t="s">
        <v>13</v>
      </c>
      <c r="G903" s="3" t="s">
        <v>14</v>
      </c>
      <c r="H903" s="3" t="s">
        <v>15</v>
      </c>
      <c r="I903" s="3">
        <v>2</v>
      </c>
      <c r="J903" s="3" t="s">
        <v>22</v>
      </c>
      <c r="K903" s="3" t="s">
        <v>32</v>
      </c>
      <c r="L903" s="3">
        <v>42</v>
      </c>
      <c r="M903" s="3" t="s">
        <v>53</v>
      </c>
      <c r="N903" s="3" t="s">
        <v>49</v>
      </c>
      <c r="O903" s="3" t="s">
        <v>15</v>
      </c>
    </row>
    <row r="904" spans="1:15" x14ac:dyDescent="0.25">
      <c r="A904" s="3">
        <v>28858</v>
      </c>
      <c r="B904" s="3" t="s">
        <v>37</v>
      </c>
      <c r="C904" s="3" t="s">
        <v>38</v>
      </c>
      <c r="D904" s="4">
        <v>80000</v>
      </c>
      <c r="E904" s="3">
        <v>3</v>
      </c>
      <c r="F904" s="3" t="s">
        <v>13</v>
      </c>
      <c r="G904" s="3" t="s">
        <v>14</v>
      </c>
      <c r="H904" s="3" t="s">
        <v>15</v>
      </c>
      <c r="I904" s="3">
        <v>0</v>
      </c>
      <c r="J904" s="3" t="s">
        <v>22</v>
      </c>
      <c r="K904" s="3" t="s">
        <v>32</v>
      </c>
      <c r="L904" s="3">
        <v>40</v>
      </c>
      <c r="M904" s="3" t="s">
        <v>53</v>
      </c>
      <c r="N904" s="3" t="s">
        <v>49</v>
      </c>
      <c r="O904" s="3" t="s">
        <v>18</v>
      </c>
    </row>
    <row r="905" spans="1:15" x14ac:dyDescent="0.25">
      <c r="A905" s="3">
        <v>14432</v>
      </c>
      <c r="B905" s="3" t="s">
        <v>37</v>
      </c>
      <c r="C905" s="3" t="s">
        <v>38</v>
      </c>
      <c r="D905" s="4">
        <v>90000</v>
      </c>
      <c r="E905" s="3">
        <v>4</v>
      </c>
      <c r="F905" s="3" t="s">
        <v>31</v>
      </c>
      <c r="G905" s="3" t="s">
        <v>28</v>
      </c>
      <c r="H905" s="3" t="s">
        <v>15</v>
      </c>
      <c r="I905" s="3">
        <v>1</v>
      </c>
      <c r="J905" s="3" t="s">
        <v>23</v>
      </c>
      <c r="K905" s="3" t="s">
        <v>32</v>
      </c>
      <c r="L905" s="3">
        <v>73</v>
      </c>
      <c r="M905" s="3" t="s">
        <v>54</v>
      </c>
      <c r="N905" s="3" t="s">
        <v>50</v>
      </c>
      <c r="O905" s="3" t="s">
        <v>18</v>
      </c>
    </row>
    <row r="906" spans="1:15" x14ac:dyDescent="0.25">
      <c r="A906" s="3">
        <v>26305</v>
      </c>
      <c r="B906" s="3" t="s">
        <v>37</v>
      </c>
      <c r="C906" s="3" t="s">
        <v>39</v>
      </c>
      <c r="D906" s="4">
        <v>60000</v>
      </c>
      <c r="E906" s="3">
        <v>2</v>
      </c>
      <c r="F906" s="3" t="s">
        <v>13</v>
      </c>
      <c r="G906" s="3" t="s">
        <v>14</v>
      </c>
      <c r="H906" s="3" t="s">
        <v>18</v>
      </c>
      <c r="I906" s="3">
        <v>0</v>
      </c>
      <c r="J906" s="3" t="s">
        <v>16</v>
      </c>
      <c r="K906" s="3" t="s">
        <v>32</v>
      </c>
      <c r="L906" s="3">
        <v>36</v>
      </c>
      <c r="M906" s="3" t="s">
        <v>53</v>
      </c>
      <c r="N906" s="3" t="s">
        <v>49</v>
      </c>
      <c r="O906" s="3" t="s">
        <v>15</v>
      </c>
    </row>
    <row r="907" spans="1:15" x14ac:dyDescent="0.25">
      <c r="A907" s="3">
        <v>22050</v>
      </c>
      <c r="B907" s="3" t="s">
        <v>37</v>
      </c>
      <c r="C907" s="3" t="s">
        <v>38</v>
      </c>
      <c r="D907" s="4">
        <v>90000</v>
      </c>
      <c r="E907" s="3">
        <v>4</v>
      </c>
      <c r="F907" s="3" t="s">
        <v>13</v>
      </c>
      <c r="G907" s="3" t="s">
        <v>28</v>
      </c>
      <c r="H907" s="3" t="s">
        <v>15</v>
      </c>
      <c r="I907" s="3">
        <v>1</v>
      </c>
      <c r="J907" s="3" t="s">
        <v>26</v>
      </c>
      <c r="K907" s="3" t="s">
        <v>32</v>
      </c>
      <c r="L907" s="3">
        <v>38</v>
      </c>
      <c r="M907" s="3" t="s">
        <v>53</v>
      </c>
      <c r="N907" s="3" t="s">
        <v>49</v>
      </c>
      <c r="O907" s="3" t="s">
        <v>15</v>
      </c>
    </row>
    <row r="908" spans="1:15" x14ac:dyDescent="0.25">
      <c r="A908" s="3">
        <v>25394</v>
      </c>
      <c r="B908" s="3" t="s">
        <v>36</v>
      </c>
      <c r="C908" s="3" t="s">
        <v>38</v>
      </c>
      <c r="D908" s="4">
        <v>60000</v>
      </c>
      <c r="E908" s="3">
        <v>1</v>
      </c>
      <c r="F908" s="3" t="s">
        <v>31</v>
      </c>
      <c r="G908" s="3" t="s">
        <v>21</v>
      </c>
      <c r="H908" s="3" t="s">
        <v>15</v>
      </c>
      <c r="I908" s="3">
        <v>0</v>
      </c>
      <c r="J908" s="3" t="s">
        <v>22</v>
      </c>
      <c r="K908" s="3" t="s">
        <v>32</v>
      </c>
      <c r="L908" s="3">
        <v>34</v>
      </c>
      <c r="M908" s="3" t="s">
        <v>53</v>
      </c>
      <c r="N908" s="3" t="s">
        <v>49</v>
      </c>
      <c r="O908" s="3" t="s">
        <v>15</v>
      </c>
    </row>
    <row r="909" spans="1:15" x14ac:dyDescent="0.25">
      <c r="A909" s="3">
        <v>19747</v>
      </c>
      <c r="B909" s="3" t="s">
        <v>36</v>
      </c>
      <c r="C909" s="3" t="s">
        <v>38</v>
      </c>
      <c r="D909" s="4">
        <v>50000</v>
      </c>
      <c r="E909" s="3">
        <v>4</v>
      </c>
      <c r="F909" s="3" t="s">
        <v>13</v>
      </c>
      <c r="G909" s="3" t="s">
        <v>28</v>
      </c>
      <c r="H909" s="3" t="s">
        <v>15</v>
      </c>
      <c r="I909" s="3">
        <v>2</v>
      </c>
      <c r="J909" s="3" t="s">
        <v>46</v>
      </c>
      <c r="K909" s="3" t="s">
        <v>32</v>
      </c>
      <c r="L909" s="3">
        <v>63</v>
      </c>
      <c r="M909" s="3" t="s">
        <v>54</v>
      </c>
      <c r="N909" s="3" t="s">
        <v>50</v>
      </c>
      <c r="O909" s="3" t="s">
        <v>18</v>
      </c>
    </row>
    <row r="910" spans="1:15" x14ac:dyDescent="0.25">
      <c r="A910" s="3">
        <v>23195</v>
      </c>
      <c r="B910" s="3" t="s">
        <v>37</v>
      </c>
      <c r="C910" s="3" t="s">
        <v>38</v>
      </c>
      <c r="D910" s="4">
        <v>50000</v>
      </c>
      <c r="E910" s="3">
        <v>3</v>
      </c>
      <c r="F910" s="3" t="s">
        <v>13</v>
      </c>
      <c r="G910" s="3" t="s">
        <v>14</v>
      </c>
      <c r="H910" s="3" t="s">
        <v>15</v>
      </c>
      <c r="I910" s="3">
        <v>2</v>
      </c>
      <c r="J910" s="3" t="s">
        <v>22</v>
      </c>
      <c r="K910" s="3" t="s">
        <v>32</v>
      </c>
      <c r="L910" s="3">
        <v>41</v>
      </c>
      <c r="M910" s="3" t="s">
        <v>53</v>
      </c>
      <c r="N910" s="3" t="s">
        <v>49</v>
      </c>
      <c r="O910" s="3" t="s">
        <v>15</v>
      </c>
    </row>
    <row r="911" spans="1:15" x14ac:dyDescent="0.25">
      <c r="A911" s="3">
        <v>21695</v>
      </c>
      <c r="B911" s="3" t="s">
        <v>36</v>
      </c>
      <c r="C911" s="3" t="s">
        <v>38</v>
      </c>
      <c r="D911" s="4">
        <v>60000</v>
      </c>
      <c r="E911" s="3">
        <v>0</v>
      </c>
      <c r="F911" s="3" t="s">
        <v>31</v>
      </c>
      <c r="G911" s="3" t="s">
        <v>14</v>
      </c>
      <c r="H911" s="3" t="s">
        <v>15</v>
      </c>
      <c r="I911" s="3">
        <v>0</v>
      </c>
      <c r="J911" s="3" t="s">
        <v>26</v>
      </c>
      <c r="K911" s="3" t="s">
        <v>32</v>
      </c>
      <c r="L911" s="3">
        <v>39</v>
      </c>
      <c r="M911" s="3" t="s">
        <v>53</v>
      </c>
      <c r="N911" s="3" t="s">
        <v>49</v>
      </c>
      <c r="O911" s="3" t="s">
        <v>15</v>
      </c>
    </row>
    <row r="912" spans="1:15" x14ac:dyDescent="0.25">
      <c r="A912" s="3">
        <v>13934</v>
      </c>
      <c r="B912" s="3" t="s">
        <v>36</v>
      </c>
      <c r="C912" s="3" t="s">
        <v>38</v>
      </c>
      <c r="D912" s="4">
        <v>40000</v>
      </c>
      <c r="E912" s="3">
        <v>4</v>
      </c>
      <c r="F912" s="3" t="s">
        <v>27</v>
      </c>
      <c r="G912" s="3" t="s">
        <v>14</v>
      </c>
      <c r="H912" s="3" t="s">
        <v>15</v>
      </c>
      <c r="I912" s="3">
        <v>2</v>
      </c>
      <c r="J912" s="3" t="s">
        <v>22</v>
      </c>
      <c r="K912" s="3" t="s">
        <v>32</v>
      </c>
      <c r="L912" s="3">
        <v>46</v>
      </c>
      <c r="M912" s="3" t="s">
        <v>51</v>
      </c>
      <c r="N912" s="3" t="s">
        <v>48</v>
      </c>
      <c r="O912" s="3" t="s">
        <v>18</v>
      </c>
    </row>
    <row r="913" spans="1:15" x14ac:dyDescent="0.25">
      <c r="A913" s="3">
        <v>13337</v>
      </c>
      <c r="B913" s="3" t="s">
        <v>36</v>
      </c>
      <c r="C913" s="3" t="s">
        <v>39</v>
      </c>
      <c r="D913" s="4">
        <v>80000</v>
      </c>
      <c r="E913" s="3">
        <v>5</v>
      </c>
      <c r="F913" s="3" t="s">
        <v>13</v>
      </c>
      <c r="G913" s="3" t="s">
        <v>28</v>
      </c>
      <c r="H913" s="3" t="s">
        <v>15</v>
      </c>
      <c r="I913" s="3">
        <v>2</v>
      </c>
      <c r="J913" s="3" t="s">
        <v>23</v>
      </c>
      <c r="K913" s="3" t="s">
        <v>32</v>
      </c>
      <c r="L913" s="3">
        <v>64</v>
      </c>
      <c r="M913" s="3" t="s">
        <v>54</v>
      </c>
      <c r="N913" s="3" t="s">
        <v>50</v>
      </c>
      <c r="O913" s="3" t="s">
        <v>18</v>
      </c>
    </row>
    <row r="914" spans="1:15" x14ac:dyDescent="0.25">
      <c r="A914" s="3">
        <v>27190</v>
      </c>
      <c r="B914" s="3" t="s">
        <v>36</v>
      </c>
      <c r="C914" s="3" t="s">
        <v>39</v>
      </c>
      <c r="D914" s="4">
        <v>40000</v>
      </c>
      <c r="E914" s="3">
        <v>3</v>
      </c>
      <c r="F914" s="3" t="s">
        <v>19</v>
      </c>
      <c r="G914" s="3" t="s">
        <v>20</v>
      </c>
      <c r="H914" s="3" t="s">
        <v>15</v>
      </c>
      <c r="I914" s="3">
        <v>1</v>
      </c>
      <c r="J914" s="3" t="s">
        <v>26</v>
      </c>
      <c r="K914" s="3" t="s">
        <v>32</v>
      </c>
      <c r="L914" s="3">
        <v>32</v>
      </c>
      <c r="M914" s="3" t="s">
        <v>53</v>
      </c>
      <c r="N914" s="3" t="s">
        <v>49</v>
      </c>
      <c r="O914" s="3" t="s">
        <v>18</v>
      </c>
    </row>
    <row r="915" spans="1:15" x14ac:dyDescent="0.25">
      <c r="A915" s="3">
        <v>28657</v>
      </c>
      <c r="B915" s="3" t="s">
        <v>37</v>
      </c>
      <c r="C915" s="3" t="s">
        <v>38</v>
      </c>
      <c r="D915" s="4">
        <v>60000</v>
      </c>
      <c r="E915" s="3">
        <v>2</v>
      </c>
      <c r="F915" s="3" t="s">
        <v>13</v>
      </c>
      <c r="G915" s="3" t="s">
        <v>14</v>
      </c>
      <c r="H915" s="3" t="s">
        <v>15</v>
      </c>
      <c r="I915" s="3">
        <v>0</v>
      </c>
      <c r="J915" s="3" t="s">
        <v>22</v>
      </c>
      <c r="K915" s="3" t="s">
        <v>32</v>
      </c>
      <c r="L915" s="3">
        <v>36</v>
      </c>
      <c r="M915" s="3" t="s">
        <v>53</v>
      </c>
      <c r="N915" s="3" t="s">
        <v>49</v>
      </c>
      <c r="O915" s="3" t="s">
        <v>15</v>
      </c>
    </row>
    <row r="916" spans="1:15" x14ac:dyDescent="0.25">
      <c r="A916" s="3">
        <v>21713</v>
      </c>
      <c r="B916" s="3" t="s">
        <v>37</v>
      </c>
      <c r="C916" s="3" t="s">
        <v>38</v>
      </c>
      <c r="D916" s="4">
        <v>80000</v>
      </c>
      <c r="E916" s="3">
        <v>5</v>
      </c>
      <c r="F916" s="3" t="s">
        <v>31</v>
      </c>
      <c r="G916" s="3" t="s">
        <v>14</v>
      </c>
      <c r="H916" s="3" t="s">
        <v>18</v>
      </c>
      <c r="I916" s="3">
        <v>0</v>
      </c>
      <c r="J916" s="3" t="s">
        <v>16</v>
      </c>
      <c r="K916" s="3" t="s">
        <v>32</v>
      </c>
      <c r="L916" s="3">
        <v>47</v>
      </c>
      <c r="M916" s="3" t="s">
        <v>51</v>
      </c>
      <c r="N916" s="3" t="s">
        <v>48</v>
      </c>
      <c r="O916" s="3" t="s">
        <v>18</v>
      </c>
    </row>
    <row r="917" spans="1:15" x14ac:dyDescent="0.25">
      <c r="A917" s="3">
        <v>21752</v>
      </c>
      <c r="B917" s="3" t="s">
        <v>36</v>
      </c>
      <c r="C917" s="3" t="s">
        <v>38</v>
      </c>
      <c r="D917" s="4">
        <v>60000</v>
      </c>
      <c r="E917" s="3">
        <v>3</v>
      </c>
      <c r="F917" s="3" t="s">
        <v>31</v>
      </c>
      <c r="G917" s="3" t="s">
        <v>28</v>
      </c>
      <c r="H917" s="3" t="s">
        <v>15</v>
      </c>
      <c r="I917" s="3">
        <v>2</v>
      </c>
      <c r="J917" s="3" t="s">
        <v>46</v>
      </c>
      <c r="K917" s="3" t="s">
        <v>32</v>
      </c>
      <c r="L917" s="3">
        <v>64</v>
      </c>
      <c r="M917" s="3" t="s">
        <v>54</v>
      </c>
      <c r="N917" s="3" t="s">
        <v>50</v>
      </c>
      <c r="O917" s="3" t="s">
        <v>18</v>
      </c>
    </row>
    <row r="918" spans="1:15" x14ac:dyDescent="0.25">
      <c r="A918" s="3">
        <v>27273</v>
      </c>
      <c r="B918" s="3" t="s">
        <v>37</v>
      </c>
      <c r="C918" s="3" t="s">
        <v>38</v>
      </c>
      <c r="D918" s="4">
        <v>70000</v>
      </c>
      <c r="E918" s="3">
        <v>3</v>
      </c>
      <c r="F918" s="3" t="s">
        <v>31</v>
      </c>
      <c r="G918" s="3" t="s">
        <v>21</v>
      </c>
      <c r="H918" s="3" t="s">
        <v>18</v>
      </c>
      <c r="I918" s="3">
        <v>0</v>
      </c>
      <c r="J918" s="3" t="s">
        <v>16</v>
      </c>
      <c r="K918" s="3" t="s">
        <v>32</v>
      </c>
      <c r="L918" s="3">
        <v>35</v>
      </c>
      <c r="M918" s="3" t="s">
        <v>53</v>
      </c>
      <c r="N918" s="3" t="s">
        <v>49</v>
      </c>
      <c r="O918" s="3" t="s">
        <v>15</v>
      </c>
    </row>
    <row r="919" spans="1:15" x14ac:dyDescent="0.25">
      <c r="A919" s="3">
        <v>22719</v>
      </c>
      <c r="B919" s="3" t="s">
        <v>37</v>
      </c>
      <c r="C919" s="3" t="s">
        <v>38</v>
      </c>
      <c r="D919" s="4">
        <v>110000</v>
      </c>
      <c r="E919" s="3">
        <v>3</v>
      </c>
      <c r="F919" s="3" t="s">
        <v>13</v>
      </c>
      <c r="G919" s="3" t="s">
        <v>28</v>
      </c>
      <c r="H919" s="3" t="s">
        <v>15</v>
      </c>
      <c r="I919" s="3">
        <v>4</v>
      </c>
      <c r="J919" s="3" t="s">
        <v>22</v>
      </c>
      <c r="K919" s="3" t="s">
        <v>32</v>
      </c>
      <c r="L919" s="3">
        <v>40</v>
      </c>
      <c r="M919" s="3" t="s">
        <v>53</v>
      </c>
      <c r="N919" s="3" t="s">
        <v>49</v>
      </c>
      <c r="O919" s="3" t="s">
        <v>15</v>
      </c>
    </row>
    <row r="920" spans="1:15" x14ac:dyDescent="0.25">
      <c r="A920" s="3">
        <v>22042</v>
      </c>
      <c r="B920" s="3" t="s">
        <v>36</v>
      </c>
      <c r="C920" s="3" t="s">
        <v>39</v>
      </c>
      <c r="D920" s="4">
        <v>70000</v>
      </c>
      <c r="E920" s="3">
        <v>0</v>
      </c>
      <c r="F920" s="3" t="s">
        <v>19</v>
      </c>
      <c r="G920" s="3" t="s">
        <v>14</v>
      </c>
      <c r="H920" s="3" t="s">
        <v>15</v>
      </c>
      <c r="I920" s="3">
        <v>2</v>
      </c>
      <c r="J920" s="3" t="s">
        <v>23</v>
      </c>
      <c r="K920" s="3" t="s">
        <v>32</v>
      </c>
      <c r="L920" s="3">
        <v>34</v>
      </c>
      <c r="M920" s="3" t="s">
        <v>53</v>
      </c>
      <c r="N920" s="3" t="s">
        <v>49</v>
      </c>
      <c r="O920" s="3" t="s">
        <v>15</v>
      </c>
    </row>
    <row r="921" spans="1:15" x14ac:dyDescent="0.25">
      <c r="A921" s="3">
        <v>21451</v>
      </c>
      <c r="B921" s="3" t="s">
        <v>36</v>
      </c>
      <c r="C921" s="3" t="s">
        <v>39</v>
      </c>
      <c r="D921" s="4">
        <v>40000</v>
      </c>
      <c r="E921" s="3">
        <v>4</v>
      </c>
      <c r="F921" s="3" t="s">
        <v>27</v>
      </c>
      <c r="G921" s="3" t="s">
        <v>21</v>
      </c>
      <c r="H921" s="3" t="s">
        <v>15</v>
      </c>
      <c r="I921" s="3">
        <v>2</v>
      </c>
      <c r="J921" s="3" t="s">
        <v>46</v>
      </c>
      <c r="K921" s="3" t="s">
        <v>32</v>
      </c>
      <c r="L921" s="3">
        <v>61</v>
      </c>
      <c r="M921" s="3" t="s">
        <v>54</v>
      </c>
      <c r="N921" s="3" t="s">
        <v>50</v>
      </c>
      <c r="O921" s="3" t="s">
        <v>18</v>
      </c>
    </row>
    <row r="922" spans="1:15" x14ac:dyDescent="0.25">
      <c r="A922" s="3">
        <v>20754</v>
      </c>
      <c r="B922" s="3" t="s">
        <v>36</v>
      </c>
      <c r="C922" s="3" t="s">
        <v>38</v>
      </c>
      <c r="D922" s="4">
        <v>30000</v>
      </c>
      <c r="E922" s="3">
        <v>2</v>
      </c>
      <c r="F922" s="3" t="s">
        <v>27</v>
      </c>
      <c r="G922" s="3" t="s">
        <v>14</v>
      </c>
      <c r="H922" s="3" t="s">
        <v>15</v>
      </c>
      <c r="I922" s="3">
        <v>2</v>
      </c>
      <c r="J922" s="3" t="s">
        <v>26</v>
      </c>
      <c r="K922" s="3" t="s">
        <v>32</v>
      </c>
      <c r="L922" s="3">
        <v>51</v>
      </c>
      <c r="M922" s="3" t="s">
        <v>51</v>
      </c>
      <c r="N922" s="3" t="s">
        <v>48</v>
      </c>
      <c r="O922" s="3" t="s">
        <v>18</v>
      </c>
    </row>
    <row r="923" spans="1:15" x14ac:dyDescent="0.25">
      <c r="A923" s="3">
        <v>12153</v>
      </c>
      <c r="B923" s="3" t="s">
        <v>37</v>
      </c>
      <c r="C923" s="3" t="s">
        <v>39</v>
      </c>
      <c r="D923" s="4">
        <v>70000</v>
      </c>
      <c r="E923" s="3">
        <v>3</v>
      </c>
      <c r="F923" s="3" t="s">
        <v>19</v>
      </c>
      <c r="G923" s="3" t="s">
        <v>21</v>
      </c>
      <c r="H923" s="3" t="s">
        <v>15</v>
      </c>
      <c r="I923" s="3">
        <v>1</v>
      </c>
      <c r="J923" s="3" t="s">
        <v>23</v>
      </c>
      <c r="K923" s="3" t="s">
        <v>32</v>
      </c>
      <c r="L923" s="3">
        <v>49</v>
      </c>
      <c r="M923" s="3" t="s">
        <v>51</v>
      </c>
      <c r="N923" s="3" t="s">
        <v>48</v>
      </c>
      <c r="O923" s="3" t="s">
        <v>15</v>
      </c>
    </row>
    <row r="924" spans="1:15" x14ac:dyDescent="0.25">
      <c r="A924" s="3">
        <v>16895</v>
      </c>
      <c r="B924" s="3" t="s">
        <v>36</v>
      </c>
      <c r="C924" s="3" t="s">
        <v>39</v>
      </c>
      <c r="D924" s="4">
        <v>40000</v>
      </c>
      <c r="E924" s="3">
        <v>3</v>
      </c>
      <c r="F924" s="3" t="s">
        <v>19</v>
      </c>
      <c r="G924" s="3" t="s">
        <v>21</v>
      </c>
      <c r="H924" s="3" t="s">
        <v>18</v>
      </c>
      <c r="I924" s="3">
        <v>2</v>
      </c>
      <c r="J924" s="3" t="s">
        <v>26</v>
      </c>
      <c r="K924" s="3" t="s">
        <v>32</v>
      </c>
      <c r="L924" s="3">
        <v>54</v>
      </c>
      <c r="M924" s="3" t="s">
        <v>51</v>
      </c>
      <c r="N924" s="3" t="s">
        <v>48</v>
      </c>
      <c r="O924" s="3" t="s">
        <v>15</v>
      </c>
    </row>
    <row r="925" spans="1:15" x14ac:dyDescent="0.25">
      <c r="A925" s="3">
        <v>26728</v>
      </c>
      <c r="B925" s="3" t="s">
        <v>37</v>
      </c>
      <c r="C925" s="3" t="s">
        <v>38</v>
      </c>
      <c r="D925" s="4">
        <v>70000</v>
      </c>
      <c r="E925" s="3">
        <v>3</v>
      </c>
      <c r="F925" s="3" t="s">
        <v>31</v>
      </c>
      <c r="G925" s="3" t="s">
        <v>28</v>
      </c>
      <c r="H925" s="3" t="s">
        <v>18</v>
      </c>
      <c r="I925" s="3">
        <v>2</v>
      </c>
      <c r="J925" s="3" t="s">
        <v>26</v>
      </c>
      <c r="K925" s="3" t="s">
        <v>32</v>
      </c>
      <c r="L925" s="3">
        <v>53</v>
      </c>
      <c r="M925" s="3" t="s">
        <v>51</v>
      </c>
      <c r="N925" s="3" t="s">
        <v>48</v>
      </c>
      <c r="O925" s="3" t="s">
        <v>15</v>
      </c>
    </row>
    <row r="926" spans="1:15" x14ac:dyDescent="0.25">
      <c r="A926" s="3">
        <v>11090</v>
      </c>
      <c r="B926" s="3" t="s">
        <v>37</v>
      </c>
      <c r="C926" s="3" t="s">
        <v>38</v>
      </c>
      <c r="D926" s="4">
        <v>90000</v>
      </c>
      <c r="E926" s="3">
        <v>2</v>
      </c>
      <c r="F926" s="3" t="s">
        <v>19</v>
      </c>
      <c r="G926" s="3" t="s">
        <v>21</v>
      </c>
      <c r="H926" s="3" t="s">
        <v>15</v>
      </c>
      <c r="I926" s="3">
        <v>1</v>
      </c>
      <c r="J926" s="3" t="s">
        <v>22</v>
      </c>
      <c r="K926" s="3" t="s">
        <v>32</v>
      </c>
      <c r="L926" s="3">
        <v>48</v>
      </c>
      <c r="M926" s="3" t="s">
        <v>51</v>
      </c>
      <c r="N926" s="3" t="s">
        <v>48</v>
      </c>
      <c r="O926" s="3" t="s">
        <v>15</v>
      </c>
    </row>
    <row r="927" spans="1:15" x14ac:dyDescent="0.25">
      <c r="A927" s="3">
        <v>15862</v>
      </c>
      <c r="B927" s="3" t="s">
        <v>37</v>
      </c>
      <c r="C927" s="3" t="s">
        <v>39</v>
      </c>
      <c r="D927" s="4">
        <v>50000</v>
      </c>
      <c r="E927" s="3">
        <v>0</v>
      </c>
      <c r="F927" s="3" t="s">
        <v>31</v>
      </c>
      <c r="G927" s="3" t="s">
        <v>14</v>
      </c>
      <c r="H927" s="3" t="s">
        <v>15</v>
      </c>
      <c r="I927" s="3">
        <v>0</v>
      </c>
      <c r="J927" s="3" t="s">
        <v>26</v>
      </c>
      <c r="K927" s="3" t="s">
        <v>32</v>
      </c>
      <c r="L927" s="3">
        <v>33</v>
      </c>
      <c r="M927" s="3" t="s">
        <v>53</v>
      </c>
      <c r="N927" s="3" t="s">
        <v>49</v>
      </c>
      <c r="O927" s="3" t="s">
        <v>15</v>
      </c>
    </row>
    <row r="928" spans="1:15" x14ac:dyDescent="0.25">
      <c r="A928" s="3">
        <v>26495</v>
      </c>
      <c r="B928" s="3" t="s">
        <v>37</v>
      </c>
      <c r="C928" s="3" t="s">
        <v>39</v>
      </c>
      <c r="D928" s="4">
        <v>40000</v>
      </c>
      <c r="E928" s="3">
        <v>2</v>
      </c>
      <c r="F928" s="3" t="s">
        <v>27</v>
      </c>
      <c r="G928" s="3" t="s">
        <v>21</v>
      </c>
      <c r="H928" s="3" t="s">
        <v>15</v>
      </c>
      <c r="I928" s="3">
        <v>2</v>
      </c>
      <c r="J928" s="3" t="s">
        <v>46</v>
      </c>
      <c r="K928" s="3" t="s">
        <v>32</v>
      </c>
      <c r="L928" s="3">
        <v>57</v>
      </c>
      <c r="M928" s="3" t="s">
        <v>54</v>
      </c>
      <c r="N928" s="3" t="s">
        <v>50</v>
      </c>
      <c r="O928" s="3" t="s">
        <v>18</v>
      </c>
    </row>
    <row r="929" spans="1:15" x14ac:dyDescent="0.25">
      <c r="A929" s="3">
        <v>11823</v>
      </c>
      <c r="B929" s="3" t="s">
        <v>36</v>
      </c>
      <c r="C929" s="3" t="s">
        <v>39</v>
      </c>
      <c r="D929" s="4">
        <v>70000</v>
      </c>
      <c r="E929" s="3">
        <v>0</v>
      </c>
      <c r="F929" s="3" t="s">
        <v>31</v>
      </c>
      <c r="G929" s="3" t="s">
        <v>21</v>
      </c>
      <c r="H929" s="3" t="s">
        <v>15</v>
      </c>
      <c r="I929" s="3">
        <v>0</v>
      </c>
      <c r="J929" s="3" t="s">
        <v>22</v>
      </c>
      <c r="K929" s="3" t="s">
        <v>32</v>
      </c>
      <c r="L929" s="3">
        <v>39</v>
      </c>
      <c r="M929" s="3" t="s">
        <v>53</v>
      </c>
      <c r="N929" s="3" t="s">
        <v>49</v>
      </c>
      <c r="O929" s="3" t="s">
        <v>18</v>
      </c>
    </row>
    <row r="930" spans="1:15" x14ac:dyDescent="0.25">
      <c r="A930" s="3">
        <v>23449</v>
      </c>
      <c r="B930" s="3" t="s">
        <v>36</v>
      </c>
      <c r="C930" s="3" t="s">
        <v>38</v>
      </c>
      <c r="D930" s="4">
        <v>60000</v>
      </c>
      <c r="E930" s="3">
        <v>2</v>
      </c>
      <c r="F930" s="3" t="s">
        <v>27</v>
      </c>
      <c r="G930" s="3" t="s">
        <v>21</v>
      </c>
      <c r="H930" s="3" t="s">
        <v>15</v>
      </c>
      <c r="I930" s="3">
        <v>2</v>
      </c>
      <c r="J930" s="3" t="s">
        <v>23</v>
      </c>
      <c r="K930" s="3" t="s">
        <v>32</v>
      </c>
      <c r="L930" s="3">
        <v>48</v>
      </c>
      <c r="M930" s="3" t="s">
        <v>51</v>
      </c>
      <c r="N930" s="3" t="s">
        <v>48</v>
      </c>
      <c r="O930" s="3" t="s">
        <v>18</v>
      </c>
    </row>
    <row r="931" spans="1:15" x14ac:dyDescent="0.25">
      <c r="A931" s="3">
        <v>23459</v>
      </c>
      <c r="B931" s="3" t="s">
        <v>36</v>
      </c>
      <c r="C931" s="3" t="s">
        <v>38</v>
      </c>
      <c r="D931" s="4">
        <v>60000</v>
      </c>
      <c r="E931" s="3">
        <v>2</v>
      </c>
      <c r="F931" s="3" t="s">
        <v>27</v>
      </c>
      <c r="G931" s="3" t="s">
        <v>21</v>
      </c>
      <c r="H931" s="3" t="s">
        <v>15</v>
      </c>
      <c r="I931" s="3">
        <v>2</v>
      </c>
      <c r="J931" s="3" t="s">
        <v>23</v>
      </c>
      <c r="K931" s="3" t="s">
        <v>32</v>
      </c>
      <c r="L931" s="3">
        <v>50</v>
      </c>
      <c r="M931" s="3" t="s">
        <v>51</v>
      </c>
      <c r="N931" s="3" t="s">
        <v>48</v>
      </c>
      <c r="O931" s="3" t="s">
        <v>18</v>
      </c>
    </row>
    <row r="932" spans="1:15" x14ac:dyDescent="0.25">
      <c r="A932" s="3">
        <v>19543</v>
      </c>
      <c r="B932" s="3" t="s">
        <v>36</v>
      </c>
      <c r="C932" s="3" t="s">
        <v>38</v>
      </c>
      <c r="D932" s="4">
        <v>70000</v>
      </c>
      <c r="E932" s="3">
        <v>5</v>
      </c>
      <c r="F932" s="3" t="s">
        <v>31</v>
      </c>
      <c r="G932" s="3" t="s">
        <v>21</v>
      </c>
      <c r="H932" s="3" t="s">
        <v>18</v>
      </c>
      <c r="I932" s="3">
        <v>3</v>
      </c>
      <c r="J932" s="3" t="s">
        <v>46</v>
      </c>
      <c r="K932" s="3" t="s">
        <v>32</v>
      </c>
      <c r="L932" s="3">
        <v>47</v>
      </c>
      <c r="M932" s="3" t="s">
        <v>51</v>
      </c>
      <c r="N932" s="3" t="s">
        <v>48</v>
      </c>
      <c r="O932" s="3" t="s">
        <v>18</v>
      </c>
    </row>
    <row r="933" spans="1:15" x14ac:dyDescent="0.25">
      <c r="A933" s="3">
        <v>14914</v>
      </c>
      <c r="B933" s="3" t="s">
        <v>36</v>
      </c>
      <c r="C933" s="3" t="s">
        <v>39</v>
      </c>
      <c r="D933" s="4">
        <v>40000</v>
      </c>
      <c r="E933" s="3">
        <v>1</v>
      </c>
      <c r="F933" s="3" t="s">
        <v>19</v>
      </c>
      <c r="G933" s="3" t="s">
        <v>20</v>
      </c>
      <c r="H933" s="3" t="s">
        <v>15</v>
      </c>
      <c r="I933" s="3">
        <v>1</v>
      </c>
      <c r="J933" s="3" t="s">
        <v>26</v>
      </c>
      <c r="K933" s="3" t="s">
        <v>32</v>
      </c>
      <c r="L933" s="3">
        <v>49</v>
      </c>
      <c r="M933" s="3" t="s">
        <v>51</v>
      </c>
      <c r="N933" s="3" t="s">
        <v>48</v>
      </c>
      <c r="O933" s="3" t="s">
        <v>15</v>
      </c>
    </row>
    <row r="934" spans="1:15" x14ac:dyDescent="0.25">
      <c r="A934" s="3">
        <v>12033</v>
      </c>
      <c r="B934" s="3" t="s">
        <v>37</v>
      </c>
      <c r="C934" s="3" t="s">
        <v>39</v>
      </c>
      <c r="D934" s="4">
        <v>40000</v>
      </c>
      <c r="E934" s="3">
        <v>0</v>
      </c>
      <c r="F934" s="3" t="s">
        <v>27</v>
      </c>
      <c r="G934" s="3" t="s">
        <v>14</v>
      </c>
      <c r="H934" s="3" t="s">
        <v>18</v>
      </c>
      <c r="I934" s="3">
        <v>2</v>
      </c>
      <c r="J934" s="3" t="s">
        <v>16</v>
      </c>
      <c r="K934" s="3" t="s">
        <v>32</v>
      </c>
      <c r="L934" s="3">
        <v>27</v>
      </c>
      <c r="M934" s="3" t="s">
        <v>53</v>
      </c>
      <c r="N934" s="3" t="s">
        <v>49</v>
      </c>
      <c r="O934" s="3" t="s">
        <v>15</v>
      </c>
    </row>
    <row r="935" spans="1:15" x14ac:dyDescent="0.25">
      <c r="A935" s="3">
        <v>11941</v>
      </c>
      <c r="B935" s="3" t="s">
        <v>37</v>
      </c>
      <c r="C935" s="3" t="s">
        <v>38</v>
      </c>
      <c r="D935" s="4">
        <v>60000</v>
      </c>
      <c r="E935" s="3">
        <v>0</v>
      </c>
      <c r="F935" s="3" t="s">
        <v>19</v>
      </c>
      <c r="G935" s="3" t="s">
        <v>14</v>
      </c>
      <c r="H935" s="3" t="s">
        <v>15</v>
      </c>
      <c r="I935" s="3">
        <v>0</v>
      </c>
      <c r="J935" s="3" t="s">
        <v>23</v>
      </c>
      <c r="K935" s="3" t="s">
        <v>32</v>
      </c>
      <c r="L935" s="3">
        <v>29</v>
      </c>
      <c r="M935" s="3" t="s">
        <v>53</v>
      </c>
      <c r="N935" s="3" t="s">
        <v>49</v>
      </c>
      <c r="O935" s="3" t="s">
        <v>18</v>
      </c>
    </row>
    <row r="936" spans="1:15" x14ac:dyDescent="0.25">
      <c r="A936" s="3">
        <v>14389</v>
      </c>
      <c r="B936" s="3" t="s">
        <v>36</v>
      </c>
      <c r="C936" s="3" t="s">
        <v>38</v>
      </c>
      <c r="D936" s="4">
        <v>60000</v>
      </c>
      <c r="E936" s="3">
        <v>2</v>
      </c>
      <c r="F936" s="3" t="s">
        <v>13</v>
      </c>
      <c r="G936" s="3" t="s">
        <v>28</v>
      </c>
      <c r="H936" s="3" t="s">
        <v>15</v>
      </c>
      <c r="I936" s="3">
        <v>0</v>
      </c>
      <c r="J936" s="3" t="s">
        <v>22</v>
      </c>
      <c r="K936" s="3" t="s">
        <v>32</v>
      </c>
      <c r="L936" s="3">
        <v>59</v>
      </c>
      <c r="M936" s="3" t="s">
        <v>54</v>
      </c>
      <c r="N936" s="3" t="s">
        <v>50</v>
      </c>
      <c r="O936" s="3" t="s">
        <v>18</v>
      </c>
    </row>
    <row r="937" spans="1:15" x14ac:dyDescent="0.25">
      <c r="A937" s="3">
        <v>18050</v>
      </c>
      <c r="B937" s="3" t="s">
        <v>36</v>
      </c>
      <c r="C937" s="3" t="s">
        <v>39</v>
      </c>
      <c r="D937" s="4">
        <v>60000</v>
      </c>
      <c r="E937" s="3">
        <v>1</v>
      </c>
      <c r="F937" s="3" t="s">
        <v>19</v>
      </c>
      <c r="G937" s="3" t="s">
        <v>14</v>
      </c>
      <c r="H937" s="3" t="s">
        <v>15</v>
      </c>
      <c r="I937" s="3">
        <v>1</v>
      </c>
      <c r="J937" s="3" t="s">
        <v>16</v>
      </c>
      <c r="K937" s="3" t="s">
        <v>32</v>
      </c>
      <c r="L937" s="3">
        <v>45</v>
      </c>
      <c r="M937" s="3" t="s">
        <v>51</v>
      </c>
      <c r="N937" s="3" t="s">
        <v>48</v>
      </c>
      <c r="O937" s="3" t="s">
        <v>15</v>
      </c>
    </row>
    <row r="938" spans="1:15" x14ac:dyDescent="0.25">
      <c r="A938" s="3">
        <v>19856</v>
      </c>
      <c r="B938" s="3" t="s">
        <v>36</v>
      </c>
      <c r="C938" s="3" t="s">
        <v>39</v>
      </c>
      <c r="D938" s="4">
        <v>60000</v>
      </c>
      <c r="E938" s="3">
        <v>4</v>
      </c>
      <c r="F938" s="3" t="s">
        <v>13</v>
      </c>
      <c r="G938" s="3" t="s">
        <v>28</v>
      </c>
      <c r="H938" s="3" t="s">
        <v>15</v>
      </c>
      <c r="I938" s="3">
        <v>2</v>
      </c>
      <c r="J938" s="3" t="s">
        <v>22</v>
      </c>
      <c r="K938" s="3" t="s">
        <v>32</v>
      </c>
      <c r="L938" s="3">
        <v>60</v>
      </c>
      <c r="M938" s="3" t="s">
        <v>54</v>
      </c>
      <c r="N938" s="3" t="s">
        <v>50</v>
      </c>
      <c r="O938" s="3" t="s">
        <v>18</v>
      </c>
    </row>
    <row r="939" spans="1:15" x14ac:dyDescent="0.25">
      <c r="A939" s="3">
        <v>11663</v>
      </c>
      <c r="B939" s="3" t="s">
        <v>36</v>
      </c>
      <c r="C939" s="3" t="s">
        <v>38</v>
      </c>
      <c r="D939" s="4">
        <v>70000</v>
      </c>
      <c r="E939" s="3">
        <v>4</v>
      </c>
      <c r="F939" s="3" t="s">
        <v>31</v>
      </c>
      <c r="G939" s="3" t="s">
        <v>21</v>
      </c>
      <c r="H939" s="3" t="s">
        <v>15</v>
      </c>
      <c r="I939" s="3">
        <v>0</v>
      </c>
      <c r="J939" s="3" t="s">
        <v>16</v>
      </c>
      <c r="K939" s="3" t="s">
        <v>32</v>
      </c>
      <c r="L939" s="3">
        <v>36</v>
      </c>
      <c r="M939" s="3" t="s">
        <v>53</v>
      </c>
      <c r="N939" s="3" t="s">
        <v>49</v>
      </c>
      <c r="O939" s="3" t="s">
        <v>15</v>
      </c>
    </row>
    <row r="940" spans="1:15" x14ac:dyDescent="0.25">
      <c r="A940" s="3">
        <v>27740</v>
      </c>
      <c r="B940" s="3" t="s">
        <v>36</v>
      </c>
      <c r="C940" s="3" t="s">
        <v>39</v>
      </c>
      <c r="D940" s="4">
        <v>40000</v>
      </c>
      <c r="E940" s="3">
        <v>0</v>
      </c>
      <c r="F940" s="3" t="s">
        <v>27</v>
      </c>
      <c r="G940" s="3" t="s">
        <v>14</v>
      </c>
      <c r="H940" s="3" t="s">
        <v>15</v>
      </c>
      <c r="I940" s="3">
        <v>2</v>
      </c>
      <c r="J940" s="3" t="s">
        <v>23</v>
      </c>
      <c r="K940" s="3" t="s">
        <v>32</v>
      </c>
      <c r="L940" s="3">
        <v>27</v>
      </c>
      <c r="M940" s="3" t="s">
        <v>53</v>
      </c>
      <c r="N940" s="3" t="s">
        <v>49</v>
      </c>
      <c r="O940" s="3" t="s">
        <v>18</v>
      </c>
    </row>
    <row r="941" spans="1:15" x14ac:dyDescent="0.25">
      <c r="A941" s="3">
        <v>23455</v>
      </c>
      <c r="B941" s="3" t="s">
        <v>37</v>
      </c>
      <c r="C941" s="3" t="s">
        <v>38</v>
      </c>
      <c r="D941" s="4">
        <v>80000</v>
      </c>
      <c r="E941" s="3">
        <v>2</v>
      </c>
      <c r="F941" s="3" t="s">
        <v>29</v>
      </c>
      <c r="G941" s="3" t="s">
        <v>14</v>
      </c>
      <c r="H941" s="3" t="s">
        <v>18</v>
      </c>
      <c r="I941" s="3">
        <v>2</v>
      </c>
      <c r="J941" s="3" t="s">
        <v>26</v>
      </c>
      <c r="K941" s="3" t="s">
        <v>32</v>
      </c>
      <c r="L941" s="3">
        <v>50</v>
      </c>
      <c r="M941" s="3" t="s">
        <v>51</v>
      </c>
      <c r="N941" s="3" t="s">
        <v>48</v>
      </c>
      <c r="O941" s="3" t="s">
        <v>18</v>
      </c>
    </row>
    <row r="942" spans="1:15" x14ac:dyDescent="0.25">
      <c r="A942" s="3">
        <v>15292</v>
      </c>
      <c r="B942" s="3" t="s">
        <v>37</v>
      </c>
      <c r="C942" s="3" t="s">
        <v>39</v>
      </c>
      <c r="D942" s="4">
        <v>60000</v>
      </c>
      <c r="E942" s="3">
        <v>1</v>
      </c>
      <c r="F942" s="3" t="s">
        <v>31</v>
      </c>
      <c r="G942" s="3" t="s">
        <v>14</v>
      </c>
      <c r="H942" s="3" t="s">
        <v>15</v>
      </c>
      <c r="I942" s="3">
        <v>0</v>
      </c>
      <c r="J942" s="3" t="s">
        <v>26</v>
      </c>
      <c r="K942" s="3" t="s">
        <v>32</v>
      </c>
      <c r="L942" s="3">
        <v>35</v>
      </c>
      <c r="M942" s="3" t="s">
        <v>53</v>
      </c>
      <c r="N942" s="3" t="s">
        <v>49</v>
      </c>
      <c r="O942" s="3" t="s">
        <v>18</v>
      </c>
    </row>
    <row r="943" spans="1:15" x14ac:dyDescent="0.25">
      <c r="A943" s="3">
        <v>21587</v>
      </c>
      <c r="B943" s="3" t="s">
        <v>36</v>
      </c>
      <c r="C943" s="3" t="s">
        <v>39</v>
      </c>
      <c r="D943" s="4">
        <v>60000</v>
      </c>
      <c r="E943" s="3">
        <v>1</v>
      </c>
      <c r="F943" s="3" t="s">
        <v>31</v>
      </c>
      <c r="G943" s="3" t="s">
        <v>14</v>
      </c>
      <c r="H943" s="3" t="s">
        <v>15</v>
      </c>
      <c r="I943" s="3">
        <v>0</v>
      </c>
      <c r="J943" s="3" t="s">
        <v>22</v>
      </c>
      <c r="K943" s="3" t="s">
        <v>32</v>
      </c>
      <c r="L943" s="3">
        <v>34</v>
      </c>
      <c r="M943" s="3" t="s">
        <v>53</v>
      </c>
      <c r="N943" s="3" t="s">
        <v>49</v>
      </c>
      <c r="O943" s="3" t="s">
        <v>15</v>
      </c>
    </row>
    <row r="944" spans="1:15" x14ac:dyDescent="0.25">
      <c r="A944" s="3">
        <v>23513</v>
      </c>
      <c r="B944" s="3" t="s">
        <v>36</v>
      </c>
      <c r="C944" s="3" t="s">
        <v>39</v>
      </c>
      <c r="D944" s="4">
        <v>40000</v>
      </c>
      <c r="E944" s="3">
        <v>3</v>
      </c>
      <c r="F944" s="3" t="s">
        <v>19</v>
      </c>
      <c r="G944" s="3" t="s">
        <v>21</v>
      </c>
      <c r="H944" s="3" t="s">
        <v>15</v>
      </c>
      <c r="I944" s="3">
        <v>2</v>
      </c>
      <c r="J944" s="3" t="s">
        <v>23</v>
      </c>
      <c r="K944" s="3" t="s">
        <v>32</v>
      </c>
      <c r="L944" s="3">
        <v>54</v>
      </c>
      <c r="M944" s="3" t="s">
        <v>51</v>
      </c>
      <c r="N944" s="3" t="s">
        <v>48</v>
      </c>
      <c r="O944" s="3" t="s">
        <v>18</v>
      </c>
    </row>
    <row r="945" spans="1:15" x14ac:dyDescent="0.25">
      <c r="A945" s="3">
        <v>24322</v>
      </c>
      <c r="B945" s="3" t="s">
        <v>36</v>
      </c>
      <c r="C945" s="3" t="s">
        <v>39</v>
      </c>
      <c r="D945" s="4">
        <v>60000</v>
      </c>
      <c r="E945" s="3">
        <v>4</v>
      </c>
      <c r="F945" s="3" t="s">
        <v>13</v>
      </c>
      <c r="G945" s="3" t="s">
        <v>14</v>
      </c>
      <c r="H945" s="3" t="s">
        <v>18</v>
      </c>
      <c r="I945" s="3">
        <v>2</v>
      </c>
      <c r="J945" s="3" t="s">
        <v>16</v>
      </c>
      <c r="K945" s="3" t="s">
        <v>32</v>
      </c>
      <c r="L945" s="3">
        <v>42</v>
      </c>
      <c r="M945" s="3" t="s">
        <v>53</v>
      </c>
      <c r="N945" s="3" t="s">
        <v>49</v>
      </c>
      <c r="O945" s="3" t="s">
        <v>18</v>
      </c>
    </row>
    <row r="946" spans="1:15" x14ac:dyDescent="0.25">
      <c r="A946" s="3">
        <v>26298</v>
      </c>
      <c r="B946" s="3" t="s">
        <v>36</v>
      </c>
      <c r="C946" s="3" t="s">
        <v>39</v>
      </c>
      <c r="D946" s="4">
        <v>50000</v>
      </c>
      <c r="E946" s="3">
        <v>1</v>
      </c>
      <c r="F946" s="3" t="s">
        <v>13</v>
      </c>
      <c r="G946" s="3" t="s">
        <v>14</v>
      </c>
      <c r="H946" s="3" t="s">
        <v>15</v>
      </c>
      <c r="I946" s="3">
        <v>0</v>
      </c>
      <c r="J946" s="3" t="s">
        <v>22</v>
      </c>
      <c r="K946" s="3" t="s">
        <v>32</v>
      </c>
      <c r="L946" s="3">
        <v>34</v>
      </c>
      <c r="M946" s="3" t="s">
        <v>53</v>
      </c>
      <c r="N946" s="3" t="s">
        <v>49</v>
      </c>
      <c r="O946" s="3" t="s">
        <v>15</v>
      </c>
    </row>
    <row r="947" spans="1:15" x14ac:dyDescent="0.25">
      <c r="A947" s="3">
        <v>25419</v>
      </c>
      <c r="B947" s="3" t="s">
        <v>37</v>
      </c>
      <c r="C947" s="3" t="s">
        <v>38</v>
      </c>
      <c r="D947" s="4">
        <v>50000</v>
      </c>
      <c r="E947" s="3">
        <v>2</v>
      </c>
      <c r="F947" s="3" t="s">
        <v>13</v>
      </c>
      <c r="G947" s="3" t="s">
        <v>14</v>
      </c>
      <c r="H947" s="3" t="s">
        <v>18</v>
      </c>
      <c r="I947" s="3">
        <v>1</v>
      </c>
      <c r="J947" s="3" t="s">
        <v>16</v>
      </c>
      <c r="K947" s="3" t="s">
        <v>32</v>
      </c>
      <c r="L947" s="3">
        <v>38</v>
      </c>
      <c r="M947" s="3" t="s">
        <v>53</v>
      </c>
      <c r="N947" s="3" t="s">
        <v>49</v>
      </c>
      <c r="O947" s="3" t="s">
        <v>15</v>
      </c>
    </row>
    <row r="948" spans="1:15" x14ac:dyDescent="0.25">
      <c r="A948" s="3">
        <v>13343</v>
      </c>
      <c r="B948" s="3" t="s">
        <v>36</v>
      </c>
      <c r="C948" s="3" t="s">
        <v>39</v>
      </c>
      <c r="D948" s="4">
        <v>90000</v>
      </c>
      <c r="E948" s="3">
        <v>5</v>
      </c>
      <c r="F948" s="3" t="s">
        <v>13</v>
      </c>
      <c r="G948" s="3" t="s">
        <v>28</v>
      </c>
      <c r="H948" s="3" t="s">
        <v>15</v>
      </c>
      <c r="I948" s="3">
        <v>2</v>
      </c>
      <c r="J948" s="3" t="s">
        <v>26</v>
      </c>
      <c r="K948" s="3" t="s">
        <v>32</v>
      </c>
      <c r="L948" s="3">
        <v>63</v>
      </c>
      <c r="M948" s="3" t="s">
        <v>54</v>
      </c>
      <c r="N948" s="3" t="s">
        <v>50</v>
      </c>
      <c r="O948" s="3" t="s">
        <v>15</v>
      </c>
    </row>
    <row r="949" spans="1:15" x14ac:dyDescent="0.25">
      <c r="A949" s="3">
        <v>11303</v>
      </c>
      <c r="B949" s="3" t="s">
        <v>37</v>
      </c>
      <c r="C949" s="3" t="s">
        <v>39</v>
      </c>
      <c r="D949" s="4">
        <v>90000</v>
      </c>
      <c r="E949" s="3">
        <v>4</v>
      </c>
      <c r="F949" s="3" t="s">
        <v>27</v>
      </c>
      <c r="G949" s="3" t="s">
        <v>21</v>
      </c>
      <c r="H949" s="3" t="s">
        <v>18</v>
      </c>
      <c r="I949" s="3">
        <v>3</v>
      </c>
      <c r="J949" s="3" t="s">
        <v>26</v>
      </c>
      <c r="K949" s="3" t="s">
        <v>32</v>
      </c>
      <c r="L949" s="3">
        <v>45</v>
      </c>
      <c r="M949" s="3" t="s">
        <v>51</v>
      </c>
      <c r="N949" s="3" t="s">
        <v>48</v>
      </c>
      <c r="O949" s="3" t="s">
        <v>15</v>
      </c>
    </row>
    <row r="950" spans="1:15" x14ac:dyDescent="0.25">
      <c r="A950" s="3">
        <v>21693</v>
      </c>
      <c r="B950" s="3" t="s">
        <v>37</v>
      </c>
      <c r="C950" s="3" t="s">
        <v>39</v>
      </c>
      <c r="D950" s="4">
        <v>60000</v>
      </c>
      <c r="E950" s="3">
        <v>0</v>
      </c>
      <c r="F950" s="3" t="s">
        <v>31</v>
      </c>
      <c r="G950" s="3" t="s">
        <v>14</v>
      </c>
      <c r="H950" s="3" t="s">
        <v>18</v>
      </c>
      <c r="I950" s="3">
        <v>0</v>
      </c>
      <c r="J950" s="3" t="s">
        <v>16</v>
      </c>
      <c r="K950" s="3" t="s">
        <v>32</v>
      </c>
      <c r="L950" s="3">
        <v>40</v>
      </c>
      <c r="M950" s="3" t="s">
        <v>53</v>
      </c>
      <c r="N950" s="3" t="s">
        <v>49</v>
      </c>
      <c r="O950" s="3" t="s">
        <v>18</v>
      </c>
    </row>
    <row r="951" spans="1:15" x14ac:dyDescent="0.25">
      <c r="A951" s="3">
        <v>28056</v>
      </c>
      <c r="B951" s="3" t="s">
        <v>36</v>
      </c>
      <c r="C951" s="3" t="s">
        <v>38</v>
      </c>
      <c r="D951" s="4">
        <v>70000</v>
      </c>
      <c r="E951" s="3">
        <v>2</v>
      </c>
      <c r="F951" s="3" t="s">
        <v>29</v>
      </c>
      <c r="G951" s="3" t="s">
        <v>14</v>
      </c>
      <c r="H951" s="3" t="s">
        <v>15</v>
      </c>
      <c r="I951" s="3">
        <v>2</v>
      </c>
      <c r="J951" s="3" t="s">
        <v>46</v>
      </c>
      <c r="K951" s="3" t="s">
        <v>32</v>
      </c>
      <c r="L951" s="3">
        <v>53</v>
      </c>
      <c r="M951" s="3" t="s">
        <v>51</v>
      </c>
      <c r="N951" s="3" t="s">
        <v>48</v>
      </c>
      <c r="O951" s="3" t="s">
        <v>18</v>
      </c>
    </row>
    <row r="952" spans="1:15" x14ac:dyDescent="0.25">
      <c r="A952" s="3">
        <v>11788</v>
      </c>
      <c r="B952" s="3" t="s">
        <v>37</v>
      </c>
      <c r="C952" s="3" t="s">
        <v>39</v>
      </c>
      <c r="D952" s="4">
        <v>70000</v>
      </c>
      <c r="E952" s="3">
        <v>1</v>
      </c>
      <c r="F952" s="3" t="s">
        <v>31</v>
      </c>
      <c r="G952" s="3" t="s">
        <v>21</v>
      </c>
      <c r="H952" s="3" t="s">
        <v>15</v>
      </c>
      <c r="I952" s="3">
        <v>0</v>
      </c>
      <c r="J952" s="3" t="s">
        <v>22</v>
      </c>
      <c r="K952" s="3" t="s">
        <v>32</v>
      </c>
      <c r="L952" s="3">
        <v>34</v>
      </c>
      <c r="M952" s="3" t="s">
        <v>53</v>
      </c>
      <c r="N952" s="3" t="s">
        <v>49</v>
      </c>
      <c r="O952" s="3" t="s">
        <v>18</v>
      </c>
    </row>
    <row r="953" spans="1:15" x14ac:dyDescent="0.25">
      <c r="A953" s="3">
        <v>22296</v>
      </c>
      <c r="B953" s="3" t="s">
        <v>36</v>
      </c>
      <c r="C953" s="3" t="s">
        <v>38</v>
      </c>
      <c r="D953" s="4">
        <v>70000</v>
      </c>
      <c r="E953" s="3">
        <v>0</v>
      </c>
      <c r="F953" s="3" t="s">
        <v>13</v>
      </c>
      <c r="G953" s="3" t="s">
        <v>21</v>
      </c>
      <c r="H953" s="3" t="s">
        <v>18</v>
      </c>
      <c r="I953" s="3">
        <v>1</v>
      </c>
      <c r="J953" s="3" t="s">
        <v>16</v>
      </c>
      <c r="K953" s="3" t="s">
        <v>32</v>
      </c>
      <c r="L953" s="3">
        <v>38</v>
      </c>
      <c r="M953" s="3" t="s">
        <v>53</v>
      </c>
      <c r="N953" s="3" t="s">
        <v>49</v>
      </c>
      <c r="O953" s="3" t="s">
        <v>18</v>
      </c>
    </row>
    <row r="954" spans="1:15" x14ac:dyDescent="0.25">
      <c r="A954" s="3">
        <v>15319</v>
      </c>
      <c r="B954" s="3" t="s">
        <v>36</v>
      </c>
      <c r="C954" s="3" t="s">
        <v>39</v>
      </c>
      <c r="D954" s="4">
        <v>70000</v>
      </c>
      <c r="E954" s="3">
        <v>4</v>
      </c>
      <c r="F954" s="3" t="s">
        <v>13</v>
      </c>
      <c r="G954" s="3" t="s">
        <v>28</v>
      </c>
      <c r="H954" s="3" t="s">
        <v>18</v>
      </c>
      <c r="I954" s="3">
        <v>1</v>
      </c>
      <c r="J954" s="3" t="s">
        <v>26</v>
      </c>
      <c r="K954" s="3" t="s">
        <v>32</v>
      </c>
      <c r="L954" s="3">
        <v>59</v>
      </c>
      <c r="M954" s="3" t="s">
        <v>54</v>
      </c>
      <c r="N954" s="3" t="s">
        <v>50</v>
      </c>
      <c r="O954" s="3" t="s">
        <v>18</v>
      </c>
    </row>
    <row r="955" spans="1:15" x14ac:dyDescent="0.25">
      <c r="A955" s="3">
        <v>17654</v>
      </c>
      <c r="B955" s="3" t="s">
        <v>37</v>
      </c>
      <c r="C955" s="3" t="s">
        <v>39</v>
      </c>
      <c r="D955" s="4">
        <v>40000</v>
      </c>
      <c r="E955" s="3">
        <v>3</v>
      </c>
      <c r="F955" s="3" t="s">
        <v>19</v>
      </c>
      <c r="G955" s="3" t="s">
        <v>20</v>
      </c>
      <c r="H955" s="3" t="s">
        <v>15</v>
      </c>
      <c r="I955" s="3">
        <v>1</v>
      </c>
      <c r="J955" s="3" t="s">
        <v>26</v>
      </c>
      <c r="K955" s="3" t="s">
        <v>32</v>
      </c>
      <c r="L955" s="3">
        <v>30</v>
      </c>
      <c r="M955" s="3" t="s">
        <v>53</v>
      </c>
      <c r="N955" s="3" t="s">
        <v>49</v>
      </c>
      <c r="O955" s="3" t="s">
        <v>15</v>
      </c>
    </row>
    <row r="956" spans="1:15" x14ac:dyDescent="0.25">
      <c r="A956" s="3">
        <v>14662</v>
      </c>
      <c r="B956" s="3" t="s">
        <v>36</v>
      </c>
      <c r="C956" s="3" t="s">
        <v>38</v>
      </c>
      <c r="D956" s="4">
        <v>60000</v>
      </c>
      <c r="E956" s="3">
        <v>1</v>
      </c>
      <c r="F956" s="3" t="s">
        <v>13</v>
      </c>
      <c r="G956" s="3" t="s">
        <v>21</v>
      </c>
      <c r="H956" s="3" t="s">
        <v>15</v>
      </c>
      <c r="I956" s="3">
        <v>1</v>
      </c>
      <c r="J956" s="3" t="s">
        <v>16</v>
      </c>
      <c r="K956" s="3" t="s">
        <v>32</v>
      </c>
      <c r="L956" s="3">
        <v>48</v>
      </c>
      <c r="M956" s="3" t="s">
        <v>51</v>
      </c>
      <c r="N956" s="3" t="s">
        <v>48</v>
      </c>
      <c r="O956" s="3" t="s">
        <v>15</v>
      </c>
    </row>
    <row r="957" spans="1:15" x14ac:dyDescent="0.25">
      <c r="A957" s="3">
        <v>17541</v>
      </c>
      <c r="B957" s="3" t="s">
        <v>36</v>
      </c>
      <c r="C957" s="3" t="s">
        <v>39</v>
      </c>
      <c r="D957" s="4">
        <v>40000</v>
      </c>
      <c r="E957" s="3">
        <v>4</v>
      </c>
      <c r="F957" s="3" t="s">
        <v>27</v>
      </c>
      <c r="G957" s="3" t="s">
        <v>14</v>
      </c>
      <c r="H957" s="3" t="s">
        <v>15</v>
      </c>
      <c r="I957" s="3">
        <v>2</v>
      </c>
      <c r="J957" s="3" t="s">
        <v>22</v>
      </c>
      <c r="K957" s="3" t="s">
        <v>32</v>
      </c>
      <c r="L957" s="3">
        <v>43</v>
      </c>
      <c r="M957" s="3" t="s">
        <v>53</v>
      </c>
      <c r="N957" s="3" t="s">
        <v>49</v>
      </c>
      <c r="O957" s="3" t="s">
        <v>18</v>
      </c>
    </row>
    <row r="958" spans="1:15" x14ac:dyDescent="0.25">
      <c r="A958" s="3">
        <v>13886</v>
      </c>
      <c r="B958" s="3" t="s">
        <v>36</v>
      </c>
      <c r="C958" s="3" t="s">
        <v>39</v>
      </c>
      <c r="D958" s="4">
        <v>70000</v>
      </c>
      <c r="E958" s="3">
        <v>4</v>
      </c>
      <c r="F958" s="3" t="s">
        <v>31</v>
      </c>
      <c r="G958" s="3" t="s">
        <v>21</v>
      </c>
      <c r="H958" s="3" t="s">
        <v>15</v>
      </c>
      <c r="I958" s="3">
        <v>0</v>
      </c>
      <c r="J958" s="3" t="s">
        <v>22</v>
      </c>
      <c r="K958" s="3" t="s">
        <v>32</v>
      </c>
      <c r="L958" s="3">
        <v>35</v>
      </c>
      <c r="M958" s="3" t="s">
        <v>53</v>
      </c>
      <c r="N958" s="3" t="s">
        <v>49</v>
      </c>
      <c r="O958" s="3" t="s">
        <v>15</v>
      </c>
    </row>
    <row r="959" spans="1:15" x14ac:dyDescent="0.25">
      <c r="A959" s="3">
        <v>13073</v>
      </c>
      <c r="B959" s="3" t="s">
        <v>36</v>
      </c>
      <c r="C959" s="3" t="s">
        <v>39</v>
      </c>
      <c r="D959" s="4">
        <v>60000</v>
      </c>
      <c r="E959" s="3">
        <v>0</v>
      </c>
      <c r="F959" s="3" t="s">
        <v>19</v>
      </c>
      <c r="G959" s="3" t="s">
        <v>21</v>
      </c>
      <c r="H959" s="3" t="s">
        <v>15</v>
      </c>
      <c r="I959" s="3">
        <v>2</v>
      </c>
      <c r="J959" s="3" t="s">
        <v>23</v>
      </c>
      <c r="K959" s="3" t="s">
        <v>32</v>
      </c>
      <c r="L959" s="3">
        <v>30</v>
      </c>
      <c r="M959" s="3" t="s">
        <v>53</v>
      </c>
      <c r="N959" s="3" t="s">
        <v>49</v>
      </c>
      <c r="O959" s="3" t="s">
        <v>18</v>
      </c>
    </row>
    <row r="960" spans="1:15" x14ac:dyDescent="0.25">
      <c r="A960" s="3">
        <v>21940</v>
      </c>
      <c r="B960" s="3" t="s">
        <v>36</v>
      </c>
      <c r="C960" s="3" t="s">
        <v>38</v>
      </c>
      <c r="D960" s="4">
        <v>90000</v>
      </c>
      <c r="E960" s="3">
        <v>5</v>
      </c>
      <c r="F960" s="3" t="s">
        <v>31</v>
      </c>
      <c r="G960" s="3" t="s">
        <v>21</v>
      </c>
      <c r="H960" s="3" t="s">
        <v>15</v>
      </c>
      <c r="I960" s="3">
        <v>0</v>
      </c>
      <c r="J960" s="3" t="s">
        <v>16</v>
      </c>
      <c r="K960" s="3" t="s">
        <v>32</v>
      </c>
      <c r="L960" s="3">
        <v>47</v>
      </c>
      <c r="M960" s="3" t="s">
        <v>51</v>
      </c>
      <c r="N960" s="3" t="s">
        <v>48</v>
      </c>
      <c r="O960" s="3" t="s">
        <v>15</v>
      </c>
    </row>
    <row r="961" spans="1:15" x14ac:dyDescent="0.25">
      <c r="A961" s="3">
        <v>20196</v>
      </c>
      <c r="B961" s="3" t="s">
        <v>36</v>
      </c>
      <c r="C961" s="3" t="s">
        <v>38</v>
      </c>
      <c r="D961" s="4">
        <v>60000</v>
      </c>
      <c r="E961" s="3">
        <v>1</v>
      </c>
      <c r="F961" s="3" t="s">
        <v>19</v>
      </c>
      <c r="G961" s="3" t="s">
        <v>14</v>
      </c>
      <c r="H961" s="3" t="s">
        <v>15</v>
      </c>
      <c r="I961" s="3">
        <v>1</v>
      </c>
      <c r="J961" s="3" t="s">
        <v>22</v>
      </c>
      <c r="K961" s="3" t="s">
        <v>32</v>
      </c>
      <c r="L961" s="3">
        <v>45</v>
      </c>
      <c r="M961" s="3" t="s">
        <v>51</v>
      </c>
      <c r="N961" s="3" t="s">
        <v>48</v>
      </c>
      <c r="O961" s="3" t="s">
        <v>15</v>
      </c>
    </row>
    <row r="962" spans="1:15" x14ac:dyDescent="0.25">
      <c r="A962" s="3">
        <v>23491</v>
      </c>
      <c r="B962" s="3" t="s">
        <v>37</v>
      </c>
      <c r="C962" s="3" t="s">
        <v>38</v>
      </c>
      <c r="D962" s="4">
        <v>100000</v>
      </c>
      <c r="E962" s="3">
        <v>0</v>
      </c>
      <c r="F962" s="3" t="s">
        <v>19</v>
      </c>
      <c r="G962" s="3" t="s">
        <v>21</v>
      </c>
      <c r="H962" s="3" t="s">
        <v>18</v>
      </c>
      <c r="I962" s="3">
        <v>4</v>
      </c>
      <c r="J962" s="3" t="s">
        <v>26</v>
      </c>
      <c r="K962" s="3" t="s">
        <v>32</v>
      </c>
      <c r="L962" s="3">
        <v>45</v>
      </c>
      <c r="M962" s="3" t="s">
        <v>51</v>
      </c>
      <c r="N962" s="3" t="s">
        <v>48</v>
      </c>
      <c r="O962" s="3" t="s">
        <v>18</v>
      </c>
    </row>
    <row r="963" spans="1:15" x14ac:dyDescent="0.25">
      <c r="A963" s="3">
        <v>16651</v>
      </c>
      <c r="B963" s="3" t="s">
        <v>36</v>
      </c>
      <c r="C963" s="3" t="s">
        <v>39</v>
      </c>
      <c r="D963" s="4">
        <v>120000</v>
      </c>
      <c r="E963" s="3">
        <v>2</v>
      </c>
      <c r="F963" s="3" t="s">
        <v>13</v>
      </c>
      <c r="G963" s="3" t="s">
        <v>28</v>
      </c>
      <c r="H963" s="3" t="s">
        <v>15</v>
      </c>
      <c r="I963" s="3">
        <v>3</v>
      </c>
      <c r="J963" s="3" t="s">
        <v>23</v>
      </c>
      <c r="K963" s="3" t="s">
        <v>32</v>
      </c>
      <c r="L963" s="3">
        <v>62</v>
      </c>
      <c r="M963" s="3" t="s">
        <v>54</v>
      </c>
      <c r="N963" s="3" t="s">
        <v>50</v>
      </c>
      <c r="O963" s="3" t="s">
        <v>18</v>
      </c>
    </row>
    <row r="964" spans="1:15" x14ac:dyDescent="0.25">
      <c r="A964" s="3">
        <v>16813</v>
      </c>
      <c r="B964" s="3" t="s">
        <v>36</v>
      </c>
      <c r="C964" s="3" t="s">
        <v>38</v>
      </c>
      <c r="D964" s="4">
        <v>60000</v>
      </c>
      <c r="E964" s="3">
        <v>2</v>
      </c>
      <c r="F964" s="3" t="s">
        <v>19</v>
      </c>
      <c r="G964" s="3" t="s">
        <v>21</v>
      </c>
      <c r="H964" s="3" t="s">
        <v>15</v>
      </c>
      <c r="I964" s="3">
        <v>2</v>
      </c>
      <c r="J964" s="3" t="s">
        <v>46</v>
      </c>
      <c r="K964" s="3" t="s">
        <v>32</v>
      </c>
      <c r="L964" s="3">
        <v>55</v>
      </c>
      <c r="M964" s="3" t="s">
        <v>52</v>
      </c>
      <c r="N964" s="3" t="s">
        <v>47</v>
      </c>
      <c r="O964" s="3" t="s">
        <v>18</v>
      </c>
    </row>
    <row r="965" spans="1:15" x14ac:dyDescent="0.25">
      <c r="A965" s="3">
        <v>16007</v>
      </c>
      <c r="B965" s="3" t="s">
        <v>36</v>
      </c>
      <c r="C965" s="3" t="s">
        <v>39</v>
      </c>
      <c r="D965" s="4">
        <v>90000</v>
      </c>
      <c r="E965" s="3">
        <v>5</v>
      </c>
      <c r="F965" s="3" t="s">
        <v>13</v>
      </c>
      <c r="G965" s="3" t="s">
        <v>28</v>
      </c>
      <c r="H965" s="3" t="s">
        <v>15</v>
      </c>
      <c r="I965" s="3">
        <v>2</v>
      </c>
      <c r="J965" s="3" t="s">
        <v>26</v>
      </c>
      <c r="K965" s="3" t="s">
        <v>32</v>
      </c>
      <c r="L965" s="3">
        <v>66</v>
      </c>
      <c r="M965" s="3" t="s">
        <v>54</v>
      </c>
      <c r="N965" s="3" t="s">
        <v>50</v>
      </c>
      <c r="O965" s="3" t="s">
        <v>15</v>
      </c>
    </row>
    <row r="966" spans="1:15" x14ac:dyDescent="0.25">
      <c r="A966" s="3">
        <v>27434</v>
      </c>
      <c r="B966" s="3" t="s">
        <v>37</v>
      </c>
      <c r="C966" s="3" t="s">
        <v>38</v>
      </c>
      <c r="D966" s="4">
        <v>70000</v>
      </c>
      <c r="E966" s="3">
        <v>4</v>
      </c>
      <c r="F966" s="3" t="s">
        <v>19</v>
      </c>
      <c r="G966" s="3" t="s">
        <v>21</v>
      </c>
      <c r="H966" s="3" t="s">
        <v>15</v>
      </c>
      <c r="I966" s="3">
        <v>1</v>
      </c>
      <c r="J966" s="3" t="s">
        <v>46</v>
      </c>
      <c r="K966" s="3" t="s">
        <v>32</v>
      </c>
      <c r="L966" s="3">
        <v>56</v>
      </c>
      <c r="M966" s="3" t="s">
        <v>54</v>
      </c>
      <c r="N966" s="3" t="s">
        <v>50</v>
      </c>
      <c r="O966" s="3" t="s">
        <v>18</v>
      </c>
    </row>
    <row r="967" spans="1:15" x14ac:dyDescent="0.25">
      <c r="A967" s="3">
        <v>27756</v>
      </c>
      <c r="B967" s="3" t="s">
        <v>37</v>
      </c>
      <c r="C967" s="3" t="s">
        <v>39</v>
      </c>
      <c r="D967" s="4">
        <v>50000</v>
      </c>
      <c r="E967" s="3">
        <v>3</v>
      </c>
      <c r="F967" s="3" t="s">
        <v>13</v>
      </c>
      <c r="G967" s="3" t="s">
        <v>14</v>
      </c>
      <c r="H967" s="3" t="s">
        <v>18</v>
      </c>
      <c r="I967" s="3">
        <v>1</v>
      </c>
      <c r="J967" s="3" t="s">
        <v>16</v>
      </c>
      <c r="K967" s="3" t="s">
        <v>32</v>
      </c>
      <c r="L967" s="3">
        <v>40</v>
      </c>
      <c r="M967" s="3" t="s">
        <v>53</v>
      </c>
      <c r="N967" s="3" t="s">
        <v>49</v>
      </c>
      <c r="O967" s="3" t="s">
        <v>18</v>
      </c>
    </row>
    <row r="968" spans="1:15" x14ac:dyDescent="0.25">
      <c r="A968" s="3">
        <v>23818</v>
      </c>
      <c r="B968" s="3" t="s">
        <v>36</v>
      </c>
      <c r="C968" s="3" t="s">
        <v>39</v>
      </c>
      <c r="D968" s="4">
        <v>50000</v>
      </c>
      <c r="E968" s="3">
        <v>0</v>
      </c>
      <c r="F968" s="3" t="s">
        <v>31</v>
      </c>
      <c r="G968" s="3" t="s">
        <v>14</v>
      </c>
      <c r="H968" s="3" t="s">
        <v>15</v>
      </c>
      <c r="I968" s="3">
        <v>0</v>
      </c>
      <c r="J968" s="3" t="s">
        <v>26</v>
      </c>
      <c r="K968" s="3" t="s">
        <v>32</v>
      </c>
      <c r="L968" s="3">
        <v>33</v>
      </c>
      <c r="M968" s="3" t="s">
        <v>53</v>
      </c>
      <c r="N968" s="3" t="s">
        <v>49</v>
      </c>
      <c r="O968" s="3" t="s">
        <v>15</v>
      </c>
    </row>
    <row r="969" spans="1:15" x14ac:dyDescent="0.25">
      <c r="A969" s="3">
        <v>19012</v>
      </c>
      <c r="B969" s="3" t="s">
        <v>36</v>
      </c>
      <c r="C969" s="3" t="s">
        <v>38</v>
      </c>
      <c r="D969" s="4">
        <v>80000</v>
      </c>
      <c r="E969" s="3">
        <v>3</v>
      </c>
      <c r="F969" s="3" t="s">
        <v>13</v>
      </c>
      <c r="G969" s="3" t="s">
        <v>28</v>
      </c>
      <c r="H969" s="3" t="s">
        <v>15</v>
      </c>
      <c r="I969" s="3">
        <v>1</v>
      </c>
      <c r="J969" s="3" t="s">
        <v>26</v>
      </c>
      <c r="K969" s="3" t="s">
        <v>32</v>
      </c>
      <c r="L969" s="3">
        <v>56</v>
      </c>
      <c r="M969" s="3" t="s">
        <v>54</v>
      </c>
      <c r="N969" s="3" t="s">
        <v>50</v>
      </c>
      <c r="O969" s="3" t="s">
        <v>18</v>
      </c>
    </row>
    <row r="970" spans="1:15" x14ac:dyDescent="0.25">
      <c r="A970" s="3">
        <v>18329</v>
      </c>
      <c r="B970" s="3" t="s">
        <v>37</v>
      </c>
      <c r="C970" s="3" t="s">
        <v>38</v>
      </c>
      <c r="D970" s="4">
        <v>30000</v>
      </c>
      <c r="E970" s="3">
        <v>0</v>
      </c>
      <c r="F970" s="3" t="s">
        <v>29</v>
      </c>
      <c r="G970" s="3" t="s">
        <v>20</v>
      </c>
      <c r="H970" s="3" t="s">
        <v>18</v>
      </c>
      <c r="I970" s="3">
        <v>2</v>
      </c>
      <c r="J970" s="3" t="s">
        <v>23</v>
      </c>
      <c r="K970" s="3" t="s">
        <v>32</v>
      </c>
      <c r="L970" s="3">
        <v>27</v>
      </c>
      <c r="M970" s="3" t="s">
        <v>53</v>
      </c>
      <c r="N970" s="3" t="s">
        <v>49</v>
      </c>
      <c r="O970" s="3" t="s">
        <v>18</v>
      </c>
    </row>
    <row r="971" spans="1:15" x14ac:dyDescent="0.25">
      <c r="A971" s="3">
        <v>29037</v>
      </c>
      <c r="B971" s="3" t="s">
        <v>36</v>
      </c>
      <c r="C971" s="3" t="s">
        <v>38</v>
      </c>
      <c r="D971" s="4">
        <v>60000</v>
      </c>
      <c r="E971" s="3">
        <v>0</v>
      </c>
      <c r="F971" s="3" t="s">
        <v>31</v>
      </c>
      <c r="G971" s="3" t="s">
        <v>21</v>
      </c>
      <c r="H971" s="3" t="s">
        <v>18</v>
      </c>
      <c r="I971" s="3">
        <v>0</v>
      </c>
      <c r="J971" s="3" t="s">
        <v>16</v>
      </c>
      <c r="K971" s="3" t="s">
        <v>32</v>
      </c>
      <c r="L971" s="3">
        <v>39</v>
      </c>
      <c r="M971" s="3" t="s">
        <v>53</v>
      </c>
      <c r="N971" s="3" t="s">
        <v>49</v>
      </c>
      <c r="O971" s="3" t="s">
        <v>18</v>
      </c>
    </row>
    <row r="972" spans="1:15" x14ac:dyDescent="0.25">
      <c r="A972" s="3">
        <v>26576</v>
      </c>
      <c r="B972" s="3" t="s">
        <v>36</v>
      </c>
      <c r="C972" s="3" t="s">
        <v>39</v>
      </c>
      <c r="D972" s="4">
        <v>60000</v>
      </c>
      <c r="E972" s="3">
        <v>0</v>
      </c>
      <c r="F972" s="3" t="s">
        <v>19</v>
      </c>
      <c r="G972" s="3" t="s">
        <v>14</v>
      </c>
      <c r="H972" s="3" t="s">
        <v>15</v>
      </c>
      <c r="I972" s="3">
        <v>2</v>
      </c>
      <c r="J972" s="3" t="s">
        <v>23</v>
      </c>
      <c r="K972" s="3" t="s">
        <v>32</v>
      </c>
      <c r="L972" s="3">
        <v>31</v>
      </c>
      <c r="M972" s="3" t="s">
        <v>53</v>
      </c>
      <c r="N972" s="3" t="s">
        <v>49</v>
      </c>
      <c r="O972" s="3" t="s">
        <v>18</v>
      </c>
    </row>
    <row r="973" spans="1:15" x14ac:dyDescent="0.25">
      <c r="A973" s="3">
        <v>12192</v>
      </c>
      <c r="B973" s="3" t="s">
        <v>37</v>
      </c>
      <c r="C973" s="3" t="s">
        <v>39</v>
      </c>
      <c r="D973" s="4">
        <v>60000</v>
      </c>
      <c r="E973" s="3">
        <v>2</v>
      </c>
      <c r="F973" s="3" t="s">
        <v>29</v>
      </c>
      <c r="G973" s="3" t="s">
        <v>14</v>
      </c>
      <c r="H973" s="3" t="s">
        <v>18</v>
      </c>
      <c r="I973" s="3">
        <v>2</v>
      </c>
      <c r="J973" s="3" t="s">
        <v>26</v>
      </c>
      <c r="K973" s="3" t="s">
        <v>32</v>
      </c>
      <c r="L973" s="3">
        <v>51</v>
      </c>
      <c r="M973" s="3" t="s">
        <v>51</v>
      </c>
      <c r="N973" s="3" t="s">
        <v>48</v>
      </c>
      <c r="O973" s="3" t="s">
        <v>18</v>
      </c>
    </row>
    <row r="974" spans="1:15" x14ac:dyDescent="0.25">
      <c r="A974" s="3">
        <v>14887</v>
      </c>
      <c r="B974" s="3" t="s">
        <v>36</v>
      </c>
      <c r="C974" s="3" t="s">
        <v>39</v>
      </c>
      <c r="D974" s="4">
        <v>30000</v>
      </c>
      <c r="E974" s="3">
        <v>1</v>
      </c>
      <c r="F974" s="3" t="s">
        <v>27</v>
      </c>
      <c r="G974" s="3" t="s">
        <v>20</v>
      </c>
      <c r="H974" s="3" t="s">
        <v>15</v>
      </c>
      <c r="I974" s="3">
        <v>1</v>
      </c>
      <c r="J974" s="3" t="s">
        <v>23</v>
      </c>
      <c r="K974" s="3" t="s">
        <v>32</v>
      </c>
      <c r="L974" s="3">
        <v>52</v>
      </c>
      <c r="M974" s="3" t="s">
        <v>51</v>
      </c>
      <c r="N974" s="3" t="s">
        <v>48</v>
      </c>
      <c r="O974" s="3" t="s">
        <v>18</v>
      </c>
    </row>
    <row r="975" spans="1:15" x14ac:dyDescent="0.25">
      <c r="A975" s="3">
        <v>11734</v>
      </c>
      <c r="B975" s="3" t="s">
        <v>36</v>
      </c>
      <c r="C975" s="3" t="s">
        <v>38</v>
      </c>
      <c r="D975" s="4">
        <v>60000</v>
      </c>
      <c r="E975" s="3">
        <v>1</v>
      </c>
      <c r="F975" s="3" t="s">
        <v>19</v>
      </c>
      <c r="G975" s="3" t="s">
        <v>14</v>
      </c>
      <c r="H975" s="3" t="s">
        <v>18</v>
      </c>
      <c r="I975" s="3">
        <v>1</v>
      </c>
      <c r="J975" s="3" t="s">
        <v>16</v>
      </c>
      <c r="K975" s="3" t="s">
        <v>32</v>
      </c>
      <c r="L975" s="3">
        <v>47</v>
      </c>
      <c r="M975" s="3" t="s">
        <v>51</v>
      </c>
      <c r="N975" s="3" t="s">
        <v>48</v>
      </c>
      <c r="O975" s="3" t="s">
        <v>18</v>
      </c>
    </row>
    <row r="976" spans="1:15" x14ac:dyDescent="0.25">
      <c r="A976" s="3">
        <v>17462</v>
      </c>
      <c r="B976" s="3" t="s">
        <v>36</v>
      </c>
      <c r="C976" s="3" t="s">
        <v>38</v>
      </c>
      <c r="D976" s="4">
        <v>70000</v>
      </c>
      <c r="E976" s="3">
        <v>3</v>
      </c>
      <c r="F976" s="3" t="s">
        <v>31</v>
      </c>
      <c r="G976" s="3" t="s">
        <v>28</v>
      </c>
      <c r="H976" s="3" t="s">
        <v>15</v>
      </c>
      <c r="I976" s="3">
        <v>2</v>
      </c>
      <c r="J976" s="3" t="s">
        <v>23</v>
      </c>
      <c r="K976" s="3" t="s">
        <v>32</v>
      </c>
      <c r="L976" s="3">
        <v>53</v>
      </c>
      <c r="M976" s="3" t="s">
        <v>51</v>
      </c>
      <c r="N976" s="3" t="s">
        <v>48</v>
      </c>
      <c r="O976" s="3" t="s">
        <v>15</v>
      </c>
    </row>
    <row r="977" spans="1:15" x14ac:dyDescent="0.25">
      <c r="A977" s="3">
        <v>20659</v>
      </c>
      <c r="B977" s="3" t="s">
        <v>36</v>
      </c>
      <c r="C977" s="3" t="s">
        <v>38</v>
      </c>
      <c r="D977" s="4">
        <v>70000</v>
      </c>
      <c r="E977" s="3">
        <v>3</v>
      </c>
      <c r="F977" s="3" t="s">
        <v>31</v>
      </c>
      <c r="G977" s="3" t="s">
        <v>21</v>
      </c>
      <c r="H977" s="3" t="s">
        <v>15</v>
      </c>
      <c r="I977" s="3">
        <v>0</v>
      </c>
      <c r="J977" s="3" t="s">
        <v>16</v>
      </c>
      <c r="K977" s="3" t="s">
        <v>32</v>
      </c>
      <c r="L977" s="3">
        <v>35</v>
      </c>
      <c r="M977" s="3" t="s">
        <v>53</v>
      </c>
      <c r="N977" s="3" t="s">
        <v>49</v>
      </c>
      <c r="O977" s="3" t="s">
        <v>15</v>
      </c>
    </row>
    <row r="978" spans="1:15" x14ac:dyDescent="0.25">
      <c r="A978" s="3">
        <v>28004</v>
      </c>
      <c r="B978" s="3" t="s">
        <v>36</v>
      </c>
      <c r="C978" s="3" t="s">
        <v>39</v>
      </c>
      <c r="D978" s="4">
        <v>60000</v>
      </c>
      <c r="E978" s="3">
        <v>3</v>
      </c>
      <c r="F978" s="3" t="s">
        <v>13</v>
      </c>
      <c r="G978" s="3" t="s">
        <v>28</v>
      </c>
      <c r="H978" s="3" t="s">
        <v>15</v>
      </c>
      <c r="I978" s="3">
        <v>2</v>
      </c>
      <c r="J978" s="3" t="s">
        <v>46</v>
      </c>
      <c r="K978" s="3" t="s">
        <v>32</v>
      </c>
      <c r="L978" s="3">
        <v>66</v>
      </c>
      <c r="M978" s="3" t="s">
        <v>54</v>
      </c>
      <c r="N978" s="3" t="s">
        <v>50</v>
      </c>
      <c r="O978" s="3" t="s">
        <v>18</v>
      </c>
    </row>
    <row r="979" spans="1:15" x14ac:dyDescent="0.25">
      <c r="A979" s="3">
        <v>19741</v>
      </c>
      <c r="B979" s="3" t="s">
        <v>37</v>
      </c>
      <c r="C979" s="3" t="s">
        <v>39</v>
      </c>
      <c r="D979" s="4">
        <v>80000</v>
      </c>
      <c r="E979" s="3">
        <v>4</v>
      </c>
      <c r="F979" s="3" t="s">
        <v>31</v>
      </c>
      <c r="G979" s="3" t="s">
        <v>28</v>
      </c>
      <c r="H979" s="3" t="s">
        <v>15</v>
      </c>
      <c r="I979" s="3">
        <v>2</v>
      </c>
      <c r="J979" s="3" t="s">
        <v>23</v>
      </c>
      <c r="K979" s="3" t="s">
        <v>32</v>
      </c>
      <c r="L979" s="3">
        <v>65</v>
      </c>
      <c r="M979" s="3" t="s">
        <v>54</v>
      </c>
      <c r="N979" s="3" t="s">
        <v>50</v>
      </c>
      <c r="O979" s="3" t="s">
        <v>18</v>
      </c>
    </row>
    <row r="980" spans="1:15" x14ac:dyDescent="0.25">
      <c r="A980" s="3">
        <v>17450</v>
      </c>
      <c r="B980" s="3" t="s">
        <v>36</v>
      </c>
      <c r="C980" s="3" t="s">
        <v>38</v>
      </c>
      <c r="D980" s="4">
        <v>80000</v>
      </c>
      <c r="E980" s="3">
        <v>5</v>
      </c>
      <c r="F980" s="3" t="s">
        <v>19</v>
      </c>
      <c r="G980" s="3" t="s">
        <v>21</v>
      </c>
      <c r="H980" s="3" t="s">
        <v>15</v>
      </c>
      <c r="I980" s="3">
        <v>3</v>
      </c>
      <c r="J980" s="3" t="s">
        <v>23</v>
      </c>
      <c r="K980" s="3" t="s">
        <v>32</v>
      </c>
      <c r="L980" s="3">
        <v>45</v>
      </c>
      <c r="M980" s="3" t="s">
        <v>51</v>
      </c>
      <c r="N980" s="3" t="s">
        <v>48</v>
      </c>
      <c r="O980" s="3" t="s">
        <v>18</v>
      </c>
    </row>
    <row r="981" spans="1:15" x14ac:dyDescent="0.25">
      <c r="A981" s="3">
        <v>17337</v>
      </c>
      <c r="B981" s="3" t="s">
        <v>37</v>
      </c>
      <c r="C981" s="3" t="s">
        <v>38</v>
      </c>
      <c r="D981" s="4">
        <v>40000</v>
      </c>
      <c r="E981" s="3">
        <v>0</v>
      </c>
      <c r="F981" s="3" t="s">
        <v>27</v>
      </c>
      <c r="G981" s="3" t="s">
        <v>14</v>
      </c>
      <c r="H981" s="3" t="s">
        <v>15</v>
      </c>
      <c r="I981" s="3">
        <v>1</v>
      </c>
      <c r="J981" s="3" t="s">
        <v>23</v>
      </c>
      <c r="K981" s="3" t="s">
        <v>32</v>
      </c>
      <c r="L981" s="3">
        <v>31</v>
      </c>
      <c r="M981" s="3" t="s">
        <v>53</v>
      </c>
      <c r="N981" s="3" t="s">
        <v>49</v>
      </c>
      <c r="O981" s="3" t="s">
        <v>18</v>
      </c>
    </row>
    <row r="982" spans="1:15" x14ac:dyDescent="0.25">
      <c r="A982" s="3">
        <v>18594</v>
      </c>
      <c r="B982" s="3" t="s">
        <v>37</v>
      </c>
      <c r="C982" s="3" t="s">
        <v>39</v>
      </c>
      <c r="D982" s="4">
        <v>80000</v>
      </c>
      <c r="E982" s="3">
        <v>3</v>
      </c>
      <c r="F982" s="3" t="s">
        <v>13</v>
      </c>
      <c r="G982" s="3" t="s">
        <v>14</v>
      </c>
      <c r="H982" s="3" t="s">
        <v>15</v>
      </c>
      <c r="I982" s="3">
        <v>3</v>
      </c>
      <c r="J982" s="3" t="s">
        <v>46</v>
      </c>
      <c r="K982" s="3" t="s">
        <v>32</v>
      </c>
      <c r="L982" s="3">
        <v>40</v>
      </c>
      <c r="M982" s="3" t="s">
        <v>53</v>
      </c>
      <c r="N982" s="3" t="s">
        <v>49</v>
      </c>
      <c r="O982" s="3" t="s">
        <v>15</v>
      </c>
    </row>
    <row r="983" spans="1:15" x14ac:dyDescent="0.25">
      <c r="A983" s="3">
        <v>15982</v>
      </c>
      <c r="B983" s="3" t="s">
        <v>36</v>
      </c>
      <c r="C983" s="3" t="s">
        <v>38</v>
      </c>
      <c r="D983" s="4">
        <v>110000</v>
      </c>
      <c r="E983" s="3">
        <v>5</v>
      </c>
      <c r="F983" s="3" t="s">
        <v>19</v>
      </c>
      <c r="G983" s="3" t="s">
        <v>21</v>
      </c>
      <c r="H983" s="3" t="s">
        <v>15</v>
      </c>
      <c r="I983" s="3">
        <v>4</v>
      </c>
      <c r="J983" s="3" t="s">
        <v>22</v>
      </c>
      <c r="K983" s="3" t="s">
        <v>32</v>
      </c>
      <c r="L983" s="3">
        <v>46</v>
      </c>
      <c r="M983" s="3" t="s">
        <v>51</v>
      </c>
      <c r="N983" s="3" t="s">
        <v>48</v>
      </c>
      <c r="O983" s="3" t="s">
        <v>18</v>
      </c>
    </row>
    <row r="984" spans="1:15" x14ac:dyDescent="0.25">
      <c r="A984" s="3">
        <v>28625</v>
      </c>
      <c r="B984" s="3" t="s">
        <v>37</v>
      </c>
      <c r="C984" s="3" t="s">
        <v>38</v>
      </c>
      <c r="D984" s="4">
        <v>40000</v>
      </c>
      <c r="E984" s="3">
        <v>2</v>
      </c>
      <c r="F984" s="3" t="s">
        <v>19</v>
      </c>
      <c r="G984" s="3" t="s">
        <v>20</v>
      </c>
      <c r="H984" s="3" t="s">
        <v>18</v>
      </c>
      <c r="I984" s="3">
        <v>1</v>
      </c>
      <c r="J984" s="3" t="s">
        <v>26</v>
      </c>
      <c r="K984" s="3" t="s">
        <v>32</v>
      </c>
      <c r="L984" s="3">
        <v>47</v>
      </c>
      <c r="M984" s="3" t="s">
        <v>51</v>
      </c>
      <c r="N984" s="3" t="s">
        <v>48</v>
      </c>
      <c r="O984" s="3" t="s">
        <v>15</v>
      </c>
    </row>
    <row r="985" spans="1:15" x14ac:dyDescent="0.25">
      <c r="A985" s="3">
        <v>11269</v>
      </c>
      <c r="B985" s="3" t="s">
        <v>36</v>
      </c>
      <c r="C985" s="3" t="s">
        <v>38</v>
      </c>
      <c r="D985" s="4">
        <v>130000</v>
      </c>
      <c r="E985" s="3">
        <v>2</v>
      </c>
      <c r="F985" s="3" t="s">
        <v>31</v>
      </c>
      <c r="G985" s="3" t="s">
        <v>28</v>
      </c>
      <c r="H985" s="3" t="s">
        <v>15</v>
      </c>
      <c r="I985" s="3">
        <v>2</v>
      </c>
      <c r="J985" s="3" t="s">
        <v>16</v>
      </c>
      <c r="K985" s="3" t="s">
        <v>32</v>
      </c>
      <c r="L985" s="3">
        <v>41</v>
      </c>
      <c r="M985" s="3" t="s">
        <v>53</v>
      </c>
      <c r="N985" s="3" t="s">
        <v>49</v>
      </c>
      <c r="O985" s="3" t="s">
        <v>18</v>
      </c>
    </row>
    <row r="986" spans="1:15" x14ac:dyDescent="0.25">
      <c r="A986" s="3">
        <v>25148</v>
      </c>
      <c r="B986" s="3" t="s">
        <v>36</v>
      </c>
      <c r="C986" s="3" t="s">
        <v>38</v>
      </c>
      <c r="D986" s="4">
        <v>60000</v>
      </c>
      <c r="E986" s="3">
        <v>2</v>
      </c>
      <c r="F986" s="3" t="s">
        <v>27</v>
      </c>
      <c r="G986" s="3" t="s">
        <v>21</v>
      </c>
      <c r="H986" s="3" t="s">
        <v>18</v>
      </c>
      <c r="I986" s="3">
        <v>2</v>
      </c>
      <c r="J986" s="3" t="s">
        <v>26</v>
      </c>
      <c r="K986" s="3" t="s">
        <v>32</v>
      </c>
      <c r="L986" s="3">
        <v>48</v>
      </c>
      <c r="M986" s="3" t="s">
        <v>51</v>
      </c>
      <c r="N986" s="3" t="s">
        <v>48</v>
      </c>
      <c r="O986" s="3" t="s">
        <v>15</v>
      </c>
    </row>
    <row r="987" spans="1:15" x14ac:dyDescent="0.25">
      <c r="A987" s="3">
        <v>13920</v>
      </c>
      <c r="B987" s="3" t="s">
        <v>37</v>
      </c>
      <c r="C987" s="3" t="s">
        <v>39</v>
      </c>
      <c r="D987" s="4">
        <v>50000</v>
      </c>
      <c r="E987" s="3">
        <v>4</v>
      </c>
      <c r="F987" s="3" t="s">
        <v>13</v>
      </c>
      <c r="G987" s="3" t="s">
        <v>14</v>
      </c>
      <c r="H987" s="3" t="s">
        <v>15</v>
      </c>
      <c r="I987" s="3">
        <v>2</v>
      </c>
      <c r="J987" s="3" t="s">
        <v>16</v>
      </c>
      <c r="K987" s="3" t="s">
        <v>32</v>
      </c>
      <c r="L987" s="3">
        <v>42</v>
      </c>
      <c r="M987" s="3" t="s">
        <v>53</v>
      </c>
      <c r="N987" s="3" t="s">
        <v>49</v>
      </c>
      <c r="O987" s="3" t="s">
        <v>18</v>
      </c>
    </row>
    <row r="988" spans="1:15" x14ac:dyDescent="0.25">
      <c r="A988" s="3">
        <v>23704</v>
      </c>
      <c r="B988" s="3" t="s">
        <v>37</v>
      </c>
      <c r="C988" s="3" t="s">
        <v>38</v>
      </c>
      <c r="D988" s="4">
        <v>40000</v>
      </c>
      <c r="E988" s="3">
        <v>5</v>
      </c>
      <c r="F988" s="3" t="s">
        <v>27</v>
      </c>
      <c r="G988" s="3" t="s">
        <v>21</v>
      </c>
      <c r="H988" s="3" t="s">
        <v>15</v>
      </c>
      <c r="I988" s="3">
        <v>4</v>
      </c>
      <c r="J988" s="3" t="s">
        <v>46</v>
      </c>
      <c r="K988" s="3" t="s">
        <v>32</v>
      </c>
      <c r="L988" s="3">
        <v>60</v>
      </c>
      <c r="M988" s="3" t="s">
        <v>54</v>
      </c>
      <c r="N988" s="3" t="s">
        <v>50</v>
      </c>
      <c r="O988" s="3" t="s">
        <v>15</v>
      </c>
    </row>
    <row r="989" spans="1:15" x14ac:dyDescent="0.25">
      <c r="A989" s="3">
        <v>28972</v>
      </c>
      <c r="B989" s="3" t="s">
        <v>37</v>
      </c>
      <c r="C989" s="3" t="s">
        <v>39</v>
      </c>
      <c r="D989" s="4">
        <v>60000</v>
      </c>
      <c r="E989" s="3">
        <v>3</v>
      </c>
      <c r="F989" s="3" t="s">
        <v>31</v>
      </c>
      <c r="G989" s="3" t="s">
        <v>28</v>
      </c>
      <c r="H989" s="3" t="s">
        <v>15</v>
      </c>
      <c r="I989" s="3">
        <v>2</v>
      </c>
      <c r="J989" s="3" t="s">
        <v>46</v>
      </c>
      <c r="K989" s="3" t="s">
        <v>32</v>
      </c>
      <c r="L989" s="3">
        <v>66</v>
      </c>
      <c r="M989" s="3" t="s">
        <v>54</v>
      </c>
      <c r="N989" s="3" t="s">
        <v>50</v>
      </c>
      <c r="O989" s="3" t="s">
        <v>18</v>
      </c>
    </row>
    <row r="990" spans="1:15" x14ac:dyDescent="0.25">
      <c r="A990" s="3">
        <v>22730</v>
      </c>
      <c r="B990" s="3" t="s">
        <v>36</v>
      </c>
      <c r="C990" s="3" t="s">
        <v>38</v>
      </c>
      <c r="D990" s="4">
        <v>70000</v>
      </c>
      <c r="E990" s="3">
        <v>5</v>
      </c>
      <c r="F990" s="3" t="s">
        <v>13</v>
      </c>
      <c r="G990" s="3" t="s">
        <v>28</v>
      </c>
      <c r="H990" s="3" t="s">
        <v>15</v>
      </c>
      <c r="I990" s="3">
        <v>2</v>
      </c>
      <c r="J990" s="3" t="s">
        <v>46</v>
      </c>
      <c r="K990" s="3" t="s">
        <v>32</v>
      </c>
      <c r="L990" s="3">
        <v>63</v>
      </c>
      <c r="M990" s="3" t="s">
        <v>54</v>
      </c>
      <c r="N990" s="3" t="s">
        <v>50</v>
      </c>
      <c r="O990" s="3" t="s">
        <v>18</v>
      </c>
    </row>
    <row r="991" spans="1:15" x14ac:dyDescent="0.25">
      <c r="A991" s="3">
        <v>29134</v>
      </c>
      <c r="B991" s="3" t="s">
        <v>36</v>
      </c>
      <c r="C991" s="3" t="s">
        <v>38</v>
      </c>
      <c r="D991" s="4">
        <v>60000</v>
      </c>
      <c r="E991" s="3">
        <v>4</v>
      </c>
      <c r="F991" s="3" t="s">
        <v>13</v>
      </c>
      <c r="G991" s="3" t="s">
        <v>14</v>
      </c>
      <c r="H991" s="3" t="s">
        <v>18</v>
      </c>
      <c r="I991" s="3">
        <v>3</v>
      </c>
      <c r="J991" s="3" t="s">
        <v>46</v>
      </c>
      <c r="K991" s="3" t="s">
        <v>32</v>
      </c>
      <c r="L991" s="3">
        <v>42</v>
      </c>
      <c r="M991" s="3" t="s">
        <v>53</v>
      </c>
      <c r="N991" s="3" t="s">
        <v>49</v>
      </c>
      <c r="O991" s="3" t="s">
        <v>18</v>
      </c>
    </row>
    <row r="992" spans="1:15" x14ac:dyDescent="0.25">
      <c r="A992" s="3">
        <v>14332</v>
      </c>
      <c r="B992" s="3" t="s">
        <v>37</v>
      </c>
      <c r="C992" s="3" t="s">
        <v>39</v>
      </c>
      <c r="D992" s="4">
        <v>30000</v>
      </c>
      <c r="E992" s="3">
        <v>0</v>
      </c>
      <c r="F992" s="3" t="s">
        <v>27</v>
      </c>
      <c r="G992" s="3" t="s">
        <v>14</v>
      </c>
      <c r="H992" s="3" t="s">
        <v>18</v>
      </c>
      <c r="I992" s="3">
        <v>2</v>
      </c>
      <c r="J992" s="3" t="s">
        <v>23</v>
      </c>
      <c r="K992" s="3" t="s">
        <v>32</v>
      </c>
      <c r="L992" s="3">
        <v>26</v>
      </c>
      <c r="M992" s="3" t="s">
        <v>53</v>
      </c>
      <c r="N992" s="3" t="s">
        <v>49</v>
      </c>
      <c r="O992" s="3" t="s">
        <v>18</v>
      </c>
    </row>
    <row r="993" spans="1:15" x14ac:dyDescent="0.25">
      <c r="A993" s="3">
        <v>19117</v>
      </c>
      <c r="B993" s="3" t="s">
        <v>37</v>
      </c>
      <c r="C993" s="3" t="s">
        <v>39</v>
      </c>
      <c r="D993" s="4">
        <v>60000</v>
      </c>
      <c r="E993" s="3">
        <v>1</v>
      </c>
      <c r="F993" s="3" t="s">
        <v>31</v>
      </c>
      <c r="G993" s="3" t="s">
        <v>21</v>
      </c>
      <c r="H993" s="3" t="s">
        <v>15</v>
      </c>
      <c r="I993" s="3">
        <v>0</v>
      </c>
      <c r="J993" s="3" t="s">
        <v>22</v>
      </c>
      <c r="K993" s="3" t="s">
        <v>32</v>
      </c>
      <c r="L993" s="3">
        <v>36</v>
      </c>
      <c r="M993" s="3" t="s">
        <v>53</v>
      </c>
      <c r="N993" s="3" t="s">
        <v>49</v>
      </c>
      <c r="O993" s="3" t="s">
        <v>15</v>
      </c>
    </row>
    <row r="994" spans="1:15" x14ac:dyDescent="0.25">
      <c r="A994" s="3">
        <v>22864</v>
      </c>
      <c r="B994" s="3" t="s">
        <v>36</v>
      </c>
      <c r="C994" s="3" t="s">
        <v>38</v>
      </c>
      <c r="D994" s="4">
        <v>90000</v>
      </c>
      <c r="E994" s="3">
        <v>2</v>
      </c>
      <c r="F994" s="3" t="s">
        <v>19</v>
      </c>
      <c r="G994" s="3" t="s">
        <v>21</v>
      </c>
      <c r="H994" s="3" t="s">
        <v>18</v>
      </c>
      <c r="I994" s="3">
        <v>0</v>
      </c>
      <c r="J994" s="3" t="s">
        <v>23</v>
      </c>
      <c r="K994" s="3" t="s">
        <v>32</v>
      </c>
      <c r="L994" s="3">
        <v>49</v>
      </c>
      <c r="M994" s="3" t="s">
        <v>51</v>
      </c>
      <c r="N994" s="3" t="s">
        <v>48</v>
      </c>
      <c r="O994" s="3" t="s">
        <v>15</v>
      </c>
    </row>
    <row r="995" spans="1:15" x14ac:dyDescent="0.25">
      <c r="A995" s="3">
        <v>11292</v>
      </c>
      <c r="B995" s="3" t="s">
        <v>37</v>
      </c>
      <c r="C995" s="3" t="s">
        <v>38</v>
      </c>
      <c r="D995" s="4">
        <v>150000</v>
      </c>
      <c r="E995" s="3">
        <v>1</v>
      </c>
      <c r="F995" s="3" t="s">
        <v>19</v>
      </c>
      <c r="G995" s="3" t="s">
        <v>21</v>
      </c>
      <c r="H995" s="3" t="s">
        <v>18</v>
      </c>
      <c r="I995" s="3">
        <v>3</v>
      </c>
      <c r="J995" s="3" t="s">
        <v>16</v>
      </c>
      <c r="K995" s="3" t="s">
        <v>32</v>
      </c>
      <c r="L995" s="3">
        <v>44</v>
      </c>
      <c r="M995" s="3" t="s">
        <v>53</v>
      </c>
      <c r="N995" s="3" t="s">
        <v>49</v>
      </c>
      <c r="O995" s="3" t="s">
        <v>15</v>
      </c>
    </row>
    <row r="996" spans="1:15" x14ac:dyDescent="0.25">
      <c r="A996" s="3">
        <v>13466</v>
      </c>
      <c r="B996" s="3" t="s">
        <v>36</v>
      </c>
      <c r="C996" s="3" t="s">
        <v>38</v>
      </c>
      <c r="D996" s="4">
        <v>80000</v>
      </c>
      <c r="E996" s="3">
        <v>5</v>
      </c>
      <c r="F996" s="3" t="s">
        <v>19</v>
      </c>
      <c r="G996" s="3" t="s">
        <v>21</v>
      </c>
      <c r="H996" s="3" t="s">
        <v>15</v>
      </c>
      <c r="I996" s="3">
        <v>3</v>
      </c>
      <c r="J996" s="3" t="s">
        <v>26</v>
      </c>
      <c r="K996" s="3" t="s">
        <v>32</v>
      </c>
      <c r="L996" s="3">
        <v>46</v>
      </c>
      <c r="M996" s="3" t="s">
        <v>51</v>
      </c>
      <c r="N996" s="3" t="s">
        <v>48</v>
      </c>
      <c r="O996" s="3" t="s">
        <v>18</v>
      </c>
    </row>
    <row r="997" spans="1:15" x14ac:dyDescent="0.25">
      <c r="A997" s="3">
        <v>23731</v>
      </c>
      <c r="B997" s="3" t="s">
        <v>36</v>
      </c>
      <c r="C997" s="3" t="s">
        <v>38</v>
      </c>
      <c r="D997" s="4">
        <v>60000</v>
      </c>
      <c r="E997" s="5">
        <v>2</v>
      </c>
      <c r="F997" s="3" t="s">
        <v>27</v>
      </c>
      <c r="G997" s="3" t="s">
        <v>21</v>
      </c>
      <c r="H997" s="3" t="s">
        <v>15</v>
      </c>
      <c r="I997" s="3">
        <v>2</v>
      </c>
      <c r="J997" s="3" t="s">
        <v>22</v>
      </c>
      <c r="K997" s="3" t="s">
        <v>32</v>
      </c>
      <c r="L997" s="3">
        <v>54</v>
      </c>
      <c r="M997" s="3" t="s">
        <v>51</v>
      </c>
      <c r="N997" s="3" t="s">
        <v>48</v>
      </c>
      <c r="O997" s="3" t="s">
        <v>15</v>
      </c>
    </row>
    <row r="998" spans="1:15" x14ac:dyDescent="0.25">
      <c r="A998" s="3">
        <v>28672</v>
      </c>
      <c r="B998" s="3" t="s">
        <v>37</v>
      </c>
      <c r="C998" s="3" t="s">
        <v>38</v>
      </c>
      <c r="D998" s="4">
        <v>70000</v>
      </c>
      <c r="E998" s="3">
        <v>4</v>
      </c>
      <c r="F998" s="3" t="s">
        <v>31</v>
      </c>
      <c r="G998" s="3" t="s">
        <v>21</v>
      </c>
      <c r="H998" s="3" t="s">
        <v>15</v>
      </c>
      <c r="I998" s="3">
        <v>0</v>
      </c>
      <c r="J998" s="3" t="s">
        <v>22</v>
      </c>
      <c r="K998" s="3" t="s">
        <v>32</v>
      </c>
      <c r="L998" s="3">
        <v>35</v>
      </c>
      <c r="M998" s="3" t="s">
        <v>53</v>
      </c>
      <c r="N998" s="3" t="s">
        <v>49</v>
      </c>
      <c r="O998" s="3" t="s">
        <v>15</v>
      </c>
    </row>
    <row r="999" spans="1:15" x14ac:dyDescent="0.25">
      <c r="A999" s="3">
        <v>11809</v>
      </c>
      <c r="B999" s="3" t="s">
        <v>36</v>
      </c>
      <c r="C999" s="3" t="s">
        <v>38</v>
      </c>
      <c r="D999" s="4">
        <v>60000</v>
      </c>
      <c r="E999" s="3">
        <v>2</v>
      </c>
      <c r="F999" s="3" t="s">
        <v>13</v>
      </c>
      <c r="G999" s="3" t="s">
        <v>14</v>
      </c>
      <c r="H999" s="3" t="s">
        <v>15</v>
      </c>
      <c r="I999" s="3">
        <v>0</v>
      </c>
      <c r="J999" s="3" t="s">
        <v>16</v>
      </c>
      <c r="K999" s="3" t="s">
        <v>32</v>
      </c>
      <c r="L999" s="3">
        <v>38</v>
      </c>
      <c r="M999" s="3" t="s">
        <v>53</v>
      </c>
      <c r="N999" s="3" t="s">
        <v>49</v>
      </c>
      <c r="O999" s="3" t="s">
        <v>15</v>
      </c>
    </row>
    <row r="1000" spans="1:15" x14ac:dyDescent="0.25">
      <c r="A1000" s="3">
        <v>19664</v>
      </c>
      <c r="B1000" s="3" t="s">
        <v>37</v>
      </c>
      <c r="C1000" s="3" t="s">
        <v>38</v>
      </c>
      <c r="D1000" s="4">
        <v>100000</v>
      </c>
      <c r="E1000" s="3">
        <v>3</v>
      </c>
      <c r="F1000" s="3" t="s">
        <v>13</v>
      </c>
      <c r="G1000" s="3" t="s">
        <v>28</v>
      </c>
      <c r="H1000" s="3" t="s">
        <v>18</v>
      </c>
      <c r="I1000" s="3">
        <v>3</v>
      </c>
      <c r="J1000" s="3" t="s">
        <v>26</v>
      </c>
      <c r="K1000" s="3" t="s">
        <v>32</v>
      </c>
      <c r="L1000" s="3">
        <v>38</v>
      </c>
      <c r="M1000" s="3" t="s">
        <v>53</v>
      </c>
      <c r="N1000" s="3" t="s">
        <v>49</v>
      </c>
      <c r="O1000" s="3" t="s">
        <v>18</v>
      </c>
    </row>
    <row r="1001" spans="1:15" x14ac:dyDescent="0.25">
      <c r="A1001" s="3">
        <v>12121</v>
      </c>
      <c r="B1001" s="3" t="s">
        <v>37</v>
      </c>
      <c r="C1001" s="3" t="s">
        <v>38</v>
      </c>
      <c r="D1001" s="4">
        <v>60000</v>
      </c>
      <c r="E1001" s="3">
        <v>3</v>
      </c>
      <c r="F1001" s="3" t="s">
        <v>27</v>
      </c>
      <c r="G1001" s="3" t="s">
        <v>21</v>
      </c>
      <c r="H1001" s="3" t="s">
        <v>15</v>
      </c>
      <c r="I1001" s="3">
        <v>2</v>
      </c>
      <c r="J1001" s="3" t="s">
        <v>46</v>
      </c>
      <c r="K1001" s="3" t="s">
        <v>32</v>
      </c>
      <c r="L1001" s="3">
        <v>53</v>
      </c>
      <c r="M1001" s="3" t="s">
        <v>51</v>
      </c>
      <c r="N1001" s="3" t="s">
        <v>48</v>
      </c>
      <c r="O1001" s="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4150-F3B0-4EB7-9809-2F4767B3A842}">
  <dimension ref="A1:E84"/>
  <sheetViews>
    <sheetView zoomScale="85" zoomScaleNormal="85" workbookViewId="0">
      <selection activeCell="A83" sqref="A8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7.85546875" bestFit="1" customWidth="1"/>
    <col min="6" max="7" width="16" bestFit="1" customWidth="1"/>
  </cols>
  <sheetData>
    <row r="1" spans="1:4" x14ac:dyDescent="0.25">
      <c r="A1" s="7" t="s">
        <v>43</v>
      </c>
      <c r="B1" s="7" t="s">
        <v>44</v>
      </c>
    </row>
    <row r="2" spans="1:4" x14ac:dyDescent="0.25">
      <c r="A2" s="7" t="s">
        <v>41</v>
      </c>
      <c r="B2" t="s">
        <v>18</v>
      </c>
      <c r="C2" t="s">
        <v>15</v>
      </c>
      <c r="D2" t="s">
        <v>42</v>
      </c>
    </row>
    <row r="3" spans="1:4" x14ac:dyDescent="0.25">
      <c r="A3" s="8" t="s">
        <v>39</v>
      </c>
      <c r="B3" s="9">
        <v>53440</v>
      </c>
      <c r="C3" s="9">
        <v>55774.058577405856</v>
      </c>
      <c r="D3" s="9">
        <v>54580.777096114522</v>
      </c>
    </row>
    <row r="4" spans="1:4" x14ac:dyDescent="0.25">
      <c r="A4" s="8" t="s">
        <v>38</v>
      </c>
      <c r="B4" s="9">
        <v>56208.178438661707</v>
      </c>
      <c r="C4" s="9">
        <v>60123.966942148763</v>
      </c>
      <c r="D4" s="9">
        <v>58062.62230919765</v>
      </c>
    </row>
    <row r="5" spans="1:4" x14ac:dyDescent="0.25">
      <c r="A5" s="8" t="s">
        <v>42</v>
      </c>
      <c r="B5" s="9">
        <v>54874.759152215796</v>
      </c>
      <c r="C5" s="9">
        <v>57962.577962577961</v>
      </c>
      <c r="D5" s="9">
        <v>56360</v>
      </c>
    </row>
    <row r="18" spans="1:4" x14ac:dyDescent="0.25">
      <c r="A18" s="7" t="s">
        <v>45</v>
      </c>
      <c r="B18" s="7" t="s">
        <v>44</v>
      </c>
    </row>
    <row r="19" spans="1:4" x14ac:dyDescent="0.25">
      <c r="A19" s="7" t="s">
        <v>41</v>
      </c>
      <c r="B19" t="s">
        <v>18</v>
      </c>
      <c r="C19" t="s">
        <v>15</v>
      </c>
      <c r="D19" t="s">
        <v>42</v>
      </c>
    </row>
    <row r="20" spans="1:4" x14ac:dyDescent="0.25">
      <c r="A20" s="8" t="s">
        <v>16</v>
      </c>
      <c r="B20" s="10">
        <v>166</v>
      </c>
      <c r="C20" s="10">
        <v>200</v>
      </c>
      <c r="D20" s="10">
        <v>366</v>
      </c>
    </row>
    <row r="21" spans="1:4" x14ac:dyDescent="0.25">
      <c r="A21" s="8" t="s">
        <v>26</v>
      </c>
      <c r="B21" s="10">
        <v>92</v>
      </c>
      <c r="C21" s="10">
        <v>77</v>
      </c>
      <c r="D21" s="10">
        <v>169</v>
      </c>
    </row>
    <row r="22" spans="1:4" x14ac:dyDescent="0.25">
      <c r="A22" s="8" t="s">
        <v>22</v>
      </c>
      <c r="B22" s="10">
        <v>67</v>
      </c>
      <c r="C22" s="10">
        <v>95</v>
      </c>
      <c r="D22" s="10">
        <v>162</v>
      </c>
    </row>
    <row r="23" spans="1:4" x14ac:dyDescent="0.25">
      <c r="A23" s="8" t="s">
        <v>23</v>
      </c>
      <c r="B23" s="10">
        <v>116</v>
      </c>
      <c r="C23" s="10">
        <v>76</v>
      </c>
      <c r="D23" s="10">
        <v>192</v>
      </c>
    </row>
    <row r="24" spans="1:4" x14ac:dyDescent="0.25">
      <c r="A24" s="8" t="s">
        <v>46</v>
      </c>
      <c r="B24" s="10">
        <v>78</v>
      </c>
      <c r="C24" s="10">
        <v>33</v>
      </c>
      <c r="D24" s="10">
        <v>111</v>
      </c>
    </row>
    <row r="25" spans="1:4" x14ac:dyDescent="0.25">
      <c r="A25" s="8" t="s">
        <v>42</v>
      </c>
      <c r="B25" s="10">
        <v>519</v>
      </c>
      <c r="C25" s="10">
        <v>481</v>
      </c>
      <c r="D25" s="10">
        <v>1000</v>
      </c>
    </row>
    <row r="36" spans="1:4" x14ac:dyDescent="0.25">
      <c r="A36" s="7" t="s">
        <v>45</v>
      </c>
      <c r="B36" s="7" t="s">
        <v>44</v>
      </c>
    </row>
    <row r="37" spans="1:4" x14ac:dyDescent="0.25">
      <c r="A37" s="7" t="s">
        <v>41</v>
      </c>
      <c r="B37" t="s">
        <v>18</v>
      </c>
      <c r="C37" t="s">
        <v>15</v>
      </c>
      <c r="D37" t="s">
        <v>42</v>
      </c>
    </row>
    <row r="38" spans="1:4" x14ac:dyDescent="0.25">
      <c r="A38" s="8" t="s">
        <v>53</v>
      </c>
      <c r="B38" s="10">
        <v>261</v>
      </c>
      <c r="C38" s="10">
        <v>290</v>
      </c>
      <c r="D38" s="10">
        <v>551</v>
      </c>
    </row>
    <row r="39" spans="1:4" x14ac:dyDescent="0.25">
      <c r="A39" s="8" t="s">
        <v>51</v>
      </c>
      <c r="B39" s="10">
        <v>128</v>
      </c>
      <c r="C39" s="10">
        <v>132</v>
      </c>
      <c r="D39" s="10">
        <v>260</v>
      </c>
    </row>
    <row r="40" spans="1:4" x14ac:dyDescent="0.25">
      <c r="A40" s="8" t="s">
        <v>52</v>
      </c>
      <c r="B40" s="10">
        <v>13</v>
      </c>
      <c r="C40" s="10">
        <v>5</v>
      </c>
      <c r="D40" s="10">
        <v>18</v>
      </c>
    </row>
    <row r="41" spans="1:4" x14ac:dyDescent="0.25">
      <c r="A41" s="8" t="s">
        <v>54</v>
      </c>
      <c r="B41" s="10">
        <v>117</v>
      </c>
      <c r="C41" s="10">
        <v>54</v>
      </c>
      <c r="D41" s="10">
        <v>171</v>
      </c>
    </row>
    <row r="42" spans="1:4" x14ac:dyDescent="0.25">
      <c r="A42" s="8" t="s">
        <v>42</v>
      </c>
      <c r="B42" s="10">
        <v>519</v>
      </c>
      <c r="C42" s="10">
        <v>481</v>
      </c>
      <c r="D42" s="10">
        <v>1000</v>
      </c>
    </row>
    <row r="55" spans="1:3" x14ac:dyDescent="0.25">
      <c r="A55" t="s">
        <v>58</v>
      </c>
    </row>
    <row r="56" spans="1:3" x14ac:dyDescent="0.25">
      <c r="A56" s="10">
        <v>1000</v>
      </c>
      <c r="C56" s="13">
        <f>GETPIVOTDATA("ID",$A$55)</f>
        <v>1000</v>
      </c>
    </row>
    <row r="58" spans="1:3" x14ac:dyDescent="0.25">
      <c r="A58" s="7" t="s">
        <v>41</v>
      </c>
      <c r="B58" t="s">
        <v>57</v>
      </c>
    </row>
    <row r="59" spans="1:3" x14ac:dyDescent="0.25">
      <c r="A59" s="8" t="s">
        <v>18</v>
      </c>
      <c r="B59" s="10">
        <v>519</v>
      </c>
    </row>
    <row r="60" spans="1:3" x14ac:dyDescent="0.25">
      <c r="A60" s="8" t="s">
        <v>15</v>
      </c>
      <c r="B60" s="10">
        <v>481</v>
      </c>
      <c r="C60" s="13">
        <f>GETPIVOTDATA("ID",$A$58,"Purchased Bike","Yes")</f>
        <v>481</v>
      </c>
    </row>
    <row r="61" spans="1:3" x14ac:dyDescent="0.25">
      <c r="A61" s="8" t="s">
        <v>42</v>
      </c>
      <c r="B61" s="10">
        <v>1000</v>
      </c>
    </row>
    <row r="63" spans="1:3" x14ac:dyDescent="0.25">
      <c r="A63" s="14" t="s">
        <v>59</v>
      </c>
      <c r="C63" s="12">
        <f>C60/C56</f>
        <v>0.48099999999999998</v>
      </c>
    </row>
    <row r="68" spans="1:5" x14ac:dyDescent="0.25">
      <c r="A68" s="7" t="s">
        <v>41</v>
      </c>
      <c r="B68" t="s">
        <v>45</v>
      </c>
    </row>
    <row r="69" spans="1:5" x14ac:dyDescent="0.25">
      <c r="A69" s="8" t="s">
        <v>17</v>
      </c>
      <c r="B69" s="10">
        <v>300</v>
      </c>
      <c r="D69" t="s">
        <v>60</v>
      </c>
      <c r="E69" t="s">
        <v>61</v>
      </c>
    </row>
    <row r="70" spans="1:5" x14ac:dyDescent="0.25">
      <c r="A70" s="8" t="s">
        <v>32</v>
      </c>
      <c r="B70" s="10">
        <v>508</v>
      </c>
      <c r="D70" t="s">
        <v>63</v>
      </c>
      <c r="E70">
        <f>B69</f>
        <v>300</v>
      </c>
    </row>
    <row r="71" spans="1:5" x14ac:dyDescent="0.25">
      <c r="A71" s="8" t="s">
        <v>24</v>
      </c>
      <c r="B71" s="10">
        <v>192</v>
      </c>
      <c r="D71" t="s">
        <v>62</v>
      </c>
      <c r="E71">
        <f>B70</f>
        <v>508</v>
      </c>
    </row>
    <row r="72" spans="1:5" x14ac:dyDescent="0.25">
      <c r="A72" s="8" t="s">
        <v>42</v>
      </c>
      <c r="B72" s="10">
        <v>1000</v>
      </c>
      <c r="D72" t="s">
        <v>64</v>
      </c>
      <c r="E72">
        <f>B71</f>
        <v>192</v>
      </c>
    </row>
    <row r="80" spans="1:5" x14ac:dyDescent="0.25">
      <c r="A80" s="7" t="s">
        <v>45</v>
      </c>
      <c r="B80" s="7" t="s">
        <v>44</v>
      </c>
    </row>
    <row r="81" spans="1:4" x14ac:dyDescent="0.25">
      <c r="A81" s="7" t="s">
        <v>41</v>
      </c>
      <c r="B81" t="s">
        <v>18</v>
      </c>
      <c r="C81" t="s">
        <v>15</v>
      </c>
      <c r="D81" t="s">
        <v>42</v>
      </c>
    </row>
    <row r="82" spans="1:4" x14ac:dyDescent="0.25">
      <c r="A82" s="8" t="s">
        <v>18</v>
      </c>
      <c r="B82" s="10">
        <v>161</v>
      </c>
      <c r="C82" s="10">
        <v>156</v>
      </c>
      <c r="D82" s="10">
        <v>317</v>
      </c>
    </row>
    <row r="83" spans="1:4" x14ac:dyDescent="0.25">
      <c r="A83" s="8" t="s">
        <v>15</v>
      </c>
      <c r="B83" s="10">
        <v>358</v>
      </c>
      <c r="C83" s="10">
        <v>325</v>
      </c>
      <c r="D83" s="10">
        <v>683</v>
      </c>
    </row>
    <row r="84" spans="1:4" x14ac:dyDescent="0.25">
      <c r="A84" s="8" t="s">
        <v>42</v>
      </c>
      <c r="B84" s="10">
        <v>519</v>
      </c>
      <c r="C84" s="10">
        <v>481</v>
      </c>
      <c r="D84" s="10">
        <v>1000</v>
      </c>
    </row>
  </sheetData>
  <pageMargins left="0.7" right="0.7" top="0.75" bottom="0.75" header="0.3" footer="0.3"/>
  <drawing r:id="rId8"/>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138F-3074-4125-842C-475630AE6729}">
  <sheetPr>
    <tabColor theme="0"/>
  </sheetPr>
  <dimension ref="A2:AG6"/>
  <sheetViews>
    <sheetView showGridLines="0" tabSelected="1" zoomScale="63" zoomScaleNormal="63" workbookViewId="0">
      <selection activeCell="AG1" sqref="AG1"/>
    </sheetView>
  </sheetViews>
  <sheetFormatPr defaultRowHeight="15" x14ac:dyDescent="0.25"/>
  <sheetData>
    <row r="2" spans="1:33" ht="15" customHeight="1" x14ac:dyDescent="0.25">
      <c r="A2" s="11" t="s">
        <v>56</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ht="15" customHeight="1"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ht="15"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ht="15" customHeight="1"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ht="15" customHeight="1"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sheetData>
  <mergeCells count="1">
    <mergeCell ref="A2:AG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 data - Riding Bike</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Ragab</cp:lastModifiedBy>
  <dcterms:created xsi:type="dcterms:W3CDTF">2022-03-18T02:50:57Z</dcterms:created>
  <dcterms:modified xsi:type="dcterms:W3CDTF">2026-06-19T02:40:20Z</dcterms:modified>
</cp:coreProperties>
</file>